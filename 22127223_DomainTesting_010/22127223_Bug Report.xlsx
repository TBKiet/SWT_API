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f-Assessment" sheetId="1" r:id="rId4"/>
    <sheet state="visible" name="Requirement List" sheetId="2" r:id="rId5"/>
    <sheet state="visible" name="Defect Report" sheetId="3" r:id="rId6"/>
    <sheet state="visible" name="Defect Severity Distribution" sheetId="4" r:id="rId7"/>
    <sheet state="visible" name="Summary" sheetId="5" r:id="rId8"/>
    <sheet state="visible" name="Legend" sheetId="6" r:id="rId9"/>
  </sheets>
  <definedNames/>
  <calcPr/>
</workbook>
</file>

<file path=xl/sharedStrings.xml><?xml version="1.0" encoding="utf-8"?>
<sst xmlns="http://schemas.openxmlformats.org/spreadsheetml/2006/main" count="159" uniqueCount="112">
  <si>
    <t>Seft-Assessment</t>
  </si>
  <si>
    <t>No</t>
  </si>
  <si>
    <t>Criteria</t>
  </si>
  <si>
    <t>MAX Score</t>
  </si>
  <si>
    <r>
      <rPr>
        <rFont val="Calibri"/>
        <color theme="1"/>
        <sz val="11.0"/>
      </rPr>
      <t xml:space="preserve">Thực thi tất cả TCs và cập nhật Test Results
</t>
    </r>
    <r>
      <rPr>
        <rFont val="Calibri"/>
        <b/>
        <color theme="1"/>
        <sz val="11.0"/>
      </rPr>
      <t>Score = MIN(2, Number of updated TCs / Total number of TCs * 2)</t>
    </r>
  </si>
  <si>
    <r>
      <rPr>
        <rFont val="Calibri"/>
        <color theme="1"/>
        <sz val="11.0"/>
      </rPr>
      <t xml:space="preserve">Số lượng Bugs của mỗi thành viên phụ thuộc vào số thành viên trong nhóm theo qui định. Thông tin bugs mô tả rõ ràng đầy đủ.
</t>
    </r>
    <r>
      <rPr>
        <rFont val="Calibri"/>
        <b/>
        <color theme="1"/>
        <sz val="11.0"/>
      </rPr>
      <t>Score = MIN(5, Number of Bugs/ Hệ số)</t>
    </r>
  </si>
  <si>
    <t>Defect Serverity Distribution đầy đủ chính xác</t>
  </si>
  <si>
    <t>Defect Summary đầy đủ, chính xác</t>
  </si>
  <si>
    <t>Trình bày rõ ràng, đúng mẫu quy định</t>
  </si>
  <si>
    <t>Total</t>
  </si>
  <si>
    <t>Link Build 1</t>
  </si>
  <si>
    <t>https://nodejs1.ttbhanh.com/</t>
  </si>
  <si>
    <t>Số thành viên trong nhóm:</t>
  </si>
  <si>
    <t>Lưu ý: 1 nhóm tối đa 4 thành viên</t>
  </si>
  <si>
    <t>Số thành viên của nhóm:</t>
  </si>
  <si>
    <t>Hệ số</t>
  </si>
  <si>
    <t>Nhóm có &gt;= 4 thành viên, mỗi thành viên có ít nhất 5 Bugs.</t>
  </si>
  <si>
    <t>Nhóm có 3 thành viên, mỗi thành viên có ít nhất 10 Bugs.</t>
  </si>
  <si>
    <t>Nhóm có 2 thành viên, mỗi thành viên có ít nhất 15 Bugs.</t>
  </si>
  <si>
    <t>Nhóm có 1 thành viên (làm cá nhân), thành viên có ít nhất 20 Bugs.</t>
  </si>
  <si>
    <t>Deadline lan 1: 23h59 01/06/2025</t>
  </si>
  <si>
    <t>Ko yeu cau bai lam phai hoan chinh, SV nop de GV gop y</t>
  </si>
  <si>
    <t>Deadline cuoi: 23h59 08/06/2025</t>
  </si>
  <si>
    <t>No.</t>
  </si>
  <si>
    <t>ID</t>
  </si>
  <si>
    <t>Requirement Name</t>
  </si>
  <si>
    <t>Details</t>
  </si>
  <si>
    <t>Remark</t>
  </si>
  <si>
    <t>R001</t>
  </si>
  <si>
    <t>Login</t>
  </si>
  <si>
    <t>R002</t>
  </si>
  <si>
    <t>Sign up</t>
  </si>
  <si>
    <t>&lt;&lt;&lt; Insert New Line above this line &gt;&gt;&gt;</t>
  </si>
  <si>
    <t>BugID</t>
  </si>
  <si>
    <t>Status</t>
  </si>
  <si>
    <t>Summary</t>
  </si>
  <si>
    <t>Steps to reproduce</t>
  </si>
  <si>
    <t>Severity</t>
  </si>
  <si>
    <t>Frequency</t>
  </si>
  <si>
    <t>Priority</t>
  </si>
  <si>
    <t>Attachment (Link to file)</t>
  </si>
  <si>
    <t>Date</t>
  </si>
  <si>
    <t>Reporter</t>
  </si>
  <si>
    <t>Build</t>
  </si>
  <si>
    <t>LOGIN-B001</t>
  </si>
  <si>
    <t>New</t>
  </si>
  <si>
    <t>Login accepts empty email without frontend validation</t>
  </si>
  <si>
    <t>1. Go to the login page2. Input: email=, password=CorrectPass1233. Submit the form</t>
  </si>
  <si>
    <t>Show email required error</t>
  </si>
  <si>
    <r>
      <rPr>
        <rFont val="Arial"/>
      </rPr>
      <t xml:space="preserve"> - Platform: Safari , MacOS 15
 - Server: </t>
    </r>
    <r>
      <rPr>
        <rFont val="Arial"/>
        <color rgb="FF1155CC"/>
        <u/>
      </rPr>
      <t>https://with-bugs.practicesoftwaretesting.com/#/auth/login</t>
    </r>
    <r>
      <rPr>
        <rFont val="Arial"/>
      </rPr>
      <t xml:space="preserve">
Step:
  1. Go to the login page
  2. Input: email=, password=CorrectPass123
  3. Submit the form
</t>
    </r>
    <r>
      <rPr>
        <rFont val="Arial"/>
        <color rgb="FFFF0000"/>
      </rPr>
      <t>Expected result: Show email required error
Actual result: No error shown; submitted to backend"</t>
    </r>
  </si>
  <si>
    <t>Major</t>
  </si>
  <si>
    <t>Always</t>
  </si>
  <si>
    <t>Urgent</t>
  </si>
  <si>
    <t>08-Jun-2025</t>
  </si>
  <si>
    <t>sprint5-with-bugs</t>
  </si>
  <si>
    <t>LOGIN-B002</t>
  </si>
  <si>
    <t>Login accepts empty password without frontend validation</t>
  </si>
  <si>
    <t>1. Go to the login page2. Input: email=user@example.com, password=3. Submit the form</t>
  </si>
  <si>
    <t>Show password required error</t>
  </si>
  <si>
    <r>
      <rPr>
        <rFont val="Arial"/>
      </rPr>
      <t xml:space="preserve"> - Platform: Safari , MacOS 15
 - Server: </t>
    </r>
    <r>
      <rPr>
        <rFont val="Arial"/>
        <color rgb="FF1155CC"/>
        <u/>
      </rPr>
      <t>https://with-bugs.practicesoftwaretesting.com/#/auth/login</t>
    </r>
    <r>
      <rPr>
        <rFont val="Arial"/>
      </rPr>
      <t xml:space="preserve">
Step:
  1. Go to the login page
  2. Input: email=user@example.com, password=
  3. Submit the form
</t>
    </r>
    <r>
      <rPr>
        <rFont val="Arial"/>
        <color rgb="FFFF0000"/>
      </rPr>
      <t>Expected result: Show password required error
Actual result: No error shown; submitted to backend"</t>
    </r>
  </si>
  <si>
    <t>LOGIN-B003</t>
  </si>
  <si>
    <t>Login bypassed using SQL injection</t>
  </si>
  <si>
    <t>1. Go to the login page2. Input: email=' OR 1=1 --, password=anything3. Submit the form</t>
  </si>
  <si>
    <t>Reject login attempt</t>
  </si>
  <si>
    <r>
      <rPr>
        <rFont val="Arial"/>
      </rPr>
      <t xml:space="preserve"> - Platform: Safari , MacOS 15
 - Server: </t>
    </r>
    <r>
      <rPr>
        <rFont val="Arial"/>
        <color rgb="FF1155CC"/>
        <u/>
      </rPr>
      <t>https://with-bugs.practicesoftwaretesting.com/#/auth/login</t>
    </r>
    <r>
      <rPr>
        <rFont val="Arial"/>
      </rPr>
      <t xml:space="preserve">
Step:
  1. Go to the login page
  2. Input: email=' OR 1=1 --, password=anything
  3. Submit the form
</t>
    </r>
    <r>
      <rPr>
        <rFont val="Arial"/>
        <color rgb="FFFF0000"/>
      </rPr>
      <t>Expected result: Reject login attempt
Actual result: Login accepted (BUG: SQLi bypass)</t>
    </r>
  </si>
  <si>
    <t>Crash</t>
  </si>
  <si>
    <t>Immediate</t>
  </si>
  <si>
    <t>DEFECT SEVERITY DISTRIBUTION</t>
  </si>
  <si>
    <t>Block</t>
  </si>
  <si>
    <t>Minor</t>
  </si>
  <si>
    <t>Tweak</t>
  </si>
  <si>
    <t>Text</t>
  </si>
  <si>
    <t>Trivial</t>
  </si>
  <si>
    <t>Feature</t>
  </si>
  <si>
    <t>Fixed</t>
  </si>
  <si>
    <t>Not fixed</t>
  </si>
  <si>
    <t>Bug found per tester with priority</t>
  </si>
  <si>
    <t>Tester Name</t>
  </si>
  <si>
    <t>High</t>
  </si>
  <si>
    <t>Normal</t>
  </si>
  <si>
    <t>Low</t>
  </si>
  <si>
    <t>Subtotal</t>
  </si>
  <si>
    <t>Bug found per tester today and total so far</t>
  </si>
  <si>
    <t># Bugs Found Today</t>
  </si>
  <si>
    <t># Bug found so far</t>
  </si>
  <si>
    <t>Student ID2</t>
  </si>
  <si>
    <t>Student ID3</t>
  </si>
  <si>
    <t>Bug found per build</t>
  </si>
  <si>
    <t># of Bug Found</t>
  </si>
  <si>
    <t># of Bug Closed</t>
  </si>
  <si>
    <t># Bug Reopened</t>
  </si>
  <si>
    <t>Build 02</t>
  </si>
  <si>
    <t>Build 03</t>
  </si>
  <si>
    <t>Defect Status</t>
  </si>
  <si>
    <t>Opened</t>
  </si>
  <si>
    <t>Closed</t>
  </si>
  <si>
    <t>Fixed/Resolved</t>
  </si>
  <si>
    <t>Reopened</t>
  </si>
  <si>
    <t>Description</t>
  </si>
  <si>
    <t>critical negative impact; this issue is holding up progress on another issue/task/project</t>
  </si>
  <si>
    <t>severe negative impact; hardware/software necessary for job duties is crashed/crashing</t>
  </si>
  <si>
    <t>large negative impact; no workaround available</t>
  </si>
  <si>
    <t>medium negative impact; no workaround available</t>
  </si>
  <si>
    <t>small negative impact; workaround is unavailable or is very complex/inefficient</t>
  </si>
  <si>
    <t>tiny negative impact; text-based content needs updated</t>
  </si>
  <si>
    <t>annoyance/hindrance; a simple workaround is available</t>
  </si>
  <si>
    <t>no negative impact on current processes; request for additional functionality</t>
  </si>
  <si>
    <t>Sometimes</t>
  </si>
  <si>
    <t>Random</t>
  </si>
  <si>
    <t>Have not tried</t>
  </si>
  <si>
    <t>Unable to reproduce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</si>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</sst>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7.0"/>
      <color theme="1"/>
      <name val="Arial"/>
    </font>
    <font/>
    <font>
      <b/>
      <color theme="1"/>
      <name val="Arial"/>
    </font>
    <font>
      <color theme="1"/>
      <name val="Arial"/>
    </font>
    <font>
      <sz val="11.0"/>
      <color theme="1"/>
      <name val="Calibri"/>
    </font>
    <font>
      <color rgb="FFFF0000"/>
      <name val="Arial"/>
    </font>
    <font>
      <b/>
      <sz val="12.0"/>
      <color rgb="FFFF0000"/>
      <name val="Arial"/>
    </font>
    <font>
      <b/>
      <u/>
      <color rgb="FF0000FF"/>
    </font>
    <font>
      <b/>
      <color rgb="FFFF0000"/>
      <name val="Arial"/>
    </font>
    <font>
      <sz val="11.0"/>
      <color rgb="FF000000"/>
      <name val="Calibri"/>
    </font>
    <font>
      <u/>
      <color rgb="FF0000FF"/>
      <name val="Arial"/>
    </font>
    <font>
      <sz val="12.0"/>
      <color theme="1"/>
      <name val="Calibri"/>
    </font>
    <font>
      <b/>
      <sz val="11.0"/>
      <color rgb="FFFF9900"/>
      <name val="Arial"/>
    </font>
    <font>
      <b/>
      <color rgb="FF000000"/>
      <name val="Arial"/>
    </font>
    <font>
      <b/>
      <color rgb="FFFF9900"/>
      <name val="Arial"/>
    </font>
    <font>
      <b/>
      <sz val="12.0"/>
      <color theme="1"/>
      <name val="Arial"/>
    </font>
    <font>
      <sz val="12.0"/>
      <color rgb="FF000000"/>
      <name val="Nunito"/>
    </font>
  </fonts>
  <fills count="7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C0C0C0"/>
        <bgColor rgb="FFC0C0C0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0" fillId="0" fontId="1" numFmtId="0" xfId="0" applyAlignment="1" applyFont="1">
      <alignment horizontal="center" shrinkToFit="0" vertical="bottom" wrapText="0"/>
    </xf>
    <xf borderId="3" fillId="3" fontId="3" numFmtId="0" xfId="0" applyAlignment="1" applyBorder="1" applyFill="1" applyFont="1">
      <alignment horizontal="center" shrinkToFit="0" vertical="top" wrapText="1"/>
    </xf>
    <xf borderId="3" fillId="3" fontId="3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4" numFmtId="0" xfId="0" applyAlignment="1" applyFont="1">
      <alignment shrinkToFit="0" vertical="top" wrapText="1"/>
    </xf>
    <xf borderId="3" fillId="0" fontId="4" numFmtId="0" xfId="0" applyAlignment="1" applyBorder="1" applyFont="1">
      <alignment horizontal="right" shrinkToFit="0" vertical="center" wrapText="0"/>
    </xf>
    <xf borderId="3" fillId="0" fontId="5" numFmtId="0" xfId="0" applyAlignment="1" applyBorder="1" applyFont="1">
      <alignment shrinkToFit="0" wrapText="1"/>
    </xf>
    <xf borderId="3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vertical="center"/>
    </xf>
    <xf borderId="3" fillId="0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3" fillId="0" fontId="5" numFmtId="0" xfId="0" applyAlignment="1" applyBorder="1" applyFont="1">
      <alignment shrinkToFit="0" vertical="bottom" wrapText="1"/>
    </xf>
    <xf borderId="3" fillId="4" fontId="3" numFmtId="0" xfId="0" applyAlignment="1" applyBorder="1" applyFill="1" applyFont="1">
      <alignment shrinkToFit="0" vertical="center" wrapText="0"/>
    </xf>
    <xf borderId="3" fillId="4" fontId="7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3" numFmtId="0" xfId="0" applyFont="1"/>
    <xf borderId="0" fillId="0" fontId="8" numFmtId="0" xfId="0" applyFont="1"/>
    <xf borderId="0" fillId="5" fontId="9" numFmtId="0" xfId="0" applyAlignment="1" applyFill="1" applyFont="1">
      <alignment vertical="bottom"/>
    </xf>
    <xf borderId="0" fillId="5" fontId="9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horizontal="center" vertical="bottom"/>
    </xf>
    <xf borderId="3" fillId="0" fontId="5" numFmtId="0" xfId="0" applyAlignment="1" applyBorder="1" applyFont="1">
      <alignment vertical="bottom"/>
    </xf>
    <xf borderId="3" fillId="0" fontId="3" numFmtId="0" xfId="0" applyAlignment="1" applyBorder="1" applyFont="1">
      <alignment horizontal="right" vertical="bottom"/>
    </xf>
    <xf borderId="3" fillId="3" fontId="3" numFmtId="0" xfId="0" applyAlignment="1" applyBorder="1" applyFont="1">
      <alignment horizontal="center" shrinkToFit="0" vertical="bottom" wrapText="0"/>
    </xf>
    <xf borderId="3" fillId="0" fontId="10" numFmtId="0" xfId="0" applyAlignment="1" applyBorder="1" applyFont="1">
      <alignment horizontal="right" shrinkToFit="0" vertical="bottom" wrapText="0"/>
    </xf>
    <xf borderId="3" fillId="0" fontId="5" numFmtId="0" xfId="0" applyAlignment="1" applyBorder="1" applyFont="1">
      <alignment horizontal="center" vertical="bottom"/>
    </xf>
    <xf borderId="3" fillId="0" fontId="10" numFmtId="0" xfId="0" applyAlignment="1" applyBorder="1" applyFont="1">
      <alignment shrinkToFit="0" vertical="bottom" wrapText="0"/>
    </xf>
    <xf borderId="4" fillId="0" fontId="5" numFmtId="0" xfId="0" applyAlignment="1" applyBorder="1" applyFont="1">
      <alignment horizontal="center" vertical="bottom"/>
    </xf>
    <xf borderId="3" fillId="0" fontId="10" numFmtId="0" xfId="0" applyAlignment="1" applyBorder="1" applyFont="1">
      <alignment readingOrder="0" shrinkToFit="0" vertical="bottom" wrapText="0"/>
    </xf>
    <xf borderId="4" fillId="4" fontId="9" numFmtId="0" xfId="0" applyAlignment="1" applyBorder="1" applyFont="1">
      <alignment shrinkToFit="0" vertical="center" wrapText="0"/>
    </xf>
    <xf borderId="4" fillId="4" fontId="3" numFmtId="0" xfId="0" applyAlignment="1" applyBorder="1" applyFont="1">
      <alignment shrinkToFit="0" vertical="center" wrapText="0"/>
    </xf>
    <xf borderId="3" fillId="3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wrapText="0"/>
    </xf>
    <xf borderId="3" fillId="0" fontId="4" numFmtId="0" xfId="0" applyAlignment="1" applyBorder="1" applyFont="1">
      <alignment readingOrder="0" shrinkToFit="0" vertical="top" wrapText="1"/>
    </xf>
    <xf borderId="3" fillId="0" fontId="11" numFmtId="0" xfId="0" applyAlignment="1" applyBorder="1" applyFont="1">
      <alignment readingOrder="0" shrinkToFit="0" vertical="top" wrapText="1"/>
    </xf>
    <xf borderId="3" fillId="0" fontId="4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shrinkToFit="0" vertical="top" wrapText="1"/>
    </xf>
    <xf borderId="3" fillId="0" fontId="4" numFmtId="0" xfId="0" applyAlignment="1" applyBorder="1" applyFont="1">
      <alignment horizontal="right" readingOrder="0" shrinkToFit="0" vertical="top" wrapText="1"/>
    </xf>
    <xf borderId="0" fillId="0" fontId="4" numFmtId="0" xfId="0" applyAlignment="1" applyFont="1">
      <alignment shrinkToFit="0" vertical="top" wrapText="0"/>
    </xf>
    <xf borderId="4" fillId="4" fontId="9" numFmtId="0" xfId="0" applyAlignment="1" applyBorder="1" applyFont="1">
      <alignment shrinkToFit="0" vertical="bottom" wrapText="0"/>
    </xf>
    <xf borderId="5" fillId="2" fontId="3" numFmtId="0" xfId="0" applyAlignment="1" applyBorder="1" applyFont="1">
      <alignment horizontal="center" shrinkToFit="0" vertical="bottom" wrapText="0"/>
    </xf>
    <xf borderId="5" fillId="0" fontId="2" numFmtId="0" xfId="0" applyBorder="1" applyFont="1"/>
    <xf borderId="4" fillId="0" fontId="12" numFmtId="0" xfId="0" applyAlignment="1" applyBorder="1" applyFont="1">
      <alignment horizontal="center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bottom"/>
    </xf>
    <xf borderId="6" fillId="0" fontId="13" numFmtId="0" xfId="0" applyAlignment="1" applyBorder="1" applyFont="1">
      <alignment horizontal="center" shrinkToFit="0" vertical="bottom" wrapText="0"/>
    </xf>
    <xf borderId="4" fillId="4" fontId="9" numFmtId="0" xfId="0" applyAlignment="1" applyBorder="1" applyFont="1">
      <alignment shrinkToFit="0" vertical="center" wrapText="1"/>
    </xf>
    <xf borderId="4" fillId="4" fontId="14" numFmtId="0" xfId="0" applyAlignment="1" applyBorder="1" applyFont="1">
      <alignment shrinkToFit="0" vertical="center" wrapText="0"/>
    </xf>
    <xf borderId="4" fillId="4" fontId="7" numFmtId="0" xfId="0" applyAlignment="1" applyBorder="1" applyFont="1">
      <alignment horizontal="center" shrinkToFit="0" vertical="center" wrapText="0"/>
    </xf>
    <xf borderId="4" fillId="3" fontId="3" numFmtId="0" xfId="0" applyAlignment="1" applyBorder="1" applyFont="1">
      <alignment horizontal="center" shrinkToFit="0" vertical="bottom" wrapText="0"/>
    </xf>
    <xf borderId="6" fillId="3" fontId="3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horizontal="left" readingOrder="0" shrinkToFit="0" vertical="bottom" wrapText="0"/>
    </xf>
    <xf borderId="6" fillId="0" fontId="3" numFmtId="0" xfId="0" applyAlignment="1" applyBorder="1" applyFont="1">
      <alignment horizontal="center" shrinkToFit="0" vertical="bottom" wrapText="0"/>
    </xf>
    <xf borderId="6" fillId="0" fontId="15" numFmtId="0" xfId="0" applyAlignment="1" applyBorder="1" applyFont="1">
      <alignment horizontal="center" shrinkToFit="0" vertical="bottom" wrapText="0"/>
    </xf>
    <xf borderId="4" fillId="4" fontId="3" numFmtId="0" xfId="0" applyAlignment="1" applyBorder="1" applyFont="1">
      <alignment shrinkToFit="0" vertical="bottom" wrapText="0"/>
    </xf>
    <xf borderId="2" fillId="4" fontId="7" numFmtId="0" xfId="0" applyAlignment="1" applyBorder="1" applyFont="1">
      <alignment horizontal="center" shrinkToFit="0" vertical="bottom" wrapText="0"/>
    </xf>
    <xf borderId="7" fillId="0" fontId="2" numFmtId="0" xfId="0" applyBorder="1" applyFont="1"/>
    <xf borderId="0" fillId="0" fontId="4" numFmtId="0" xfId="0" applyAlignment="1" applyFont="1">
      <alignment shrinkToFit="0" vertical="bottom" wrapText="0"/>
    </xf>
    <xf borderId="1" fillId="2" fontId="3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shrinkToFit="0" vertical="bottom" wrapText="0"/>
    </xf>
    <xf borderId="6" fillId="4" fontId="7" numFmtId="0" xfId="0" applyAlignment="1" applyBorder="1" applyFont="1">
      <alignment horizontal="center" shrinkToFit="0" vertical="bottom" wrapText="0"/>
    </xf>
    <xf borderId="3" fillId="0" fontId="3" numFmtId="0" xfId="0" applyAlignment="1" applyBorder="1" applyFont="1">
      <alignment readingOrder="0" shrinkToFit="0" vertical="top" wrapText="1"/>
    </xf>
    <xf borderId="4" fillId="0" fontId="4" numFmtId="0" xfId="0" applyAlignment="1" applyBorder="1" applyFont="1">
      <alignment horizontal="center" shrinkToFit="0" vertical="bottom" wrapText="0"/>
    </xf>
    <xf borderId="4" fillId="4" fontId="16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0" fillId="6" fontId="17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odejs1.ttbhanh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ith-bugs.practicesoftwaretesting.com/" TargetMode="External"/><Relationship Id="rId2" Type="http://schemas.openxmlformats.org/officeDocument/2006/relationships/hyperlink" Target="https://with-bugs.practicesoftwaretesting.com/" TargetMode="External"/><Relationship Id="rId3" Type="http://schemas.openxmlformats.org/officeDocument/2006/relationships/hyperlink" Target="https://with-bugs.practicesoftwaretesting.com/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52.75"/>
    <col customWidth="1" min="3" max="3" width="7.38"/>
    <col customWidth="1" min="4" max="6" width="12.63"/>
  </cols>
  <sheetData>
    <row r="1">
      <c r="A1" s="1" t="s">
        <v>0</v>
      </c>
      <c r="B1" s="2"/>
      <c r="C1" s="2"/>
      <c r="D1" s="2"/>
      <c r="E1" s="3"/>
      <c r="F1" s="3"/>
      <c r="G1" s="3"/>
    </row>
    <row r="2">
      <c r="A2" s="4" t="s">
        <v>1</v>
      </c>
      <c r="B2" s="4" t="s">
        <v>2</v>
      </c>
      <c r="C2" s="4" t="s">
        <v>3</v>
      </c>
      <c r="D2" s="5">
        <v>2.2127223E7</v>
      </c>
      <c r="E2" s="6"/>
      <c r="F2" s="6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>
      <c r="A3" s="8">
        <v>1.0</v>
      </c>
      <c r="B3" s="9" t="s">
        <v>4</v>
      </c>
      <c r="C3" s="10">
        <v>2.0</v>
      </c>
      <c r="D3" s="11">
        <v>2.0</v>
      </c>
      <c r="E3" s="12"/>
      <c r="F3" s="12"/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>
      <c r="A4" s="8">
        <v>2.0</v>
      </c>
      <c r="B4" s="9" t="s">
        <v>5</v>
      </c>
      <c r="C4" s="10">
        <v>5.0</v>
      </c>
      <c r="D4" s="14">
        <f>min($C4,COUNTIF('Defect Report'!$L:$L,D$2)/if($C$11&gt;=4,1,if($C$11=3,2,if($C$11=2,3,4))))</f>
        <v>3</v>
      </c>
      <c r="E4" s="15"/>
      <c r="F4" s="15"/>
      <c r="G4" s="15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>
      <c r="A5" s="8">
        <v>3.0</v>
      </c>
      <c r="B5" s="16" t="s">
        <v>6</v>
      </c>
      <c r="C5" s="10">
        <v>1.0</v>
      </c>
      <c r="D5" s="11">
        <v>1.0</v>
      </c>
      <c r="E5" s="12"/>
      <c r="F5" s="12"/>
      <c r="G5" s="12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>
      <c r="A6" s="8">
        <v>4.0</v>
      </c>
      <c r="B6" s="9" t="s">
        <v>7</v>
      </c>
      <c r="C6" s="10">
        <v>1.0</v>
      </c>
      <c r="D6" s="11">
        <v>1.0</v>
      </c>
      <c r="E6" s="12"/>
      <c r="F6" s="12"/>
      <c r="G6" s="12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>
      <c r="A7" s="8">
        <v>5.0</v>
      </c>
      <c r="B7" s="9" t="s">
        <v>8</v>
      </c>
      <c r="C7" s="10">
        <v>1.0</v>
      </c>
      <c r="D7" s="11">
        <v>1.0</v>
      </c>
      <c r="E7" s="12"/>
      <c r="F7" s="12"/>
      <c r="G7" s="12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>
      <c r="A8" s="17"/>
      <c r="B8" s="17" t="s">
        <v>9</v>
      </c>
      <c r="C8" s="18">
        <f t="shared" ref="C8:D8" si="1">SUM(C3:C7)</f>
        <v>10</v>
      </c>
      <c r="D8" s="18">
        <f t="shared" si="1"/>
        <v>8</v>
      </c>
      <c r="E8" s="19"/>
      <c r="F8" s="19"/>
      <c r="G8" s="19"/>
    </row>
    <row r="9"/>
    <row r="10">
      <c r="B10" s="20" t="s">
        <v>10</v>
      </c>
      <c r="C10" s="21" t="s">
        <v>11</v>
      </c>
    </row>
    <row r="11">
      <c r="B11" s="22" t="s">
        <v>12</v>
      </c>
      <c r="C11" s="23">
        <v>4.0</v>
      </c>
    </row>
    <row r="12">
      <c r="B12" s="24" t="s">
        <v>13</v>
      </c>
      <c r="C12" s="24"/>
    </row>
    <row r="13">
      <c r="B13" s="25" t="s">
        <v>14</v>
      </c>
      <c r="C13" s="26" t="s">
        <v>15</v>
      </c>
    </row>
    <row r="14">
      <c r="B14" s="27" t="s">
        <v>16</v>
      </c>
      <c r="C14" s="28">
        <v>1.0</v>
      </c>
    </row>
    <row r="15">
      <c r="B15" s="27" t="s">
        <v>17</v>
      </c>
      <c r="C15" s="28">
        <v>2.0</v>
      </c>
    </row>
    <row r="16">
      <c r="B16" s="27" t="s">
        <v>18</v>
      </c>
      <c r="C16" s="28">
        <v>3.0</v>
      </c>
    </row>
    <row r="17">
      <c r="B17" s="27" t="s">
        <v>19</v>
      </c>
      <c r="C17" s="28">
        <v>4.0</v>
      </c>
    </row>
    <row r="18">
      <c r="B18" s="24"/>
      <c r="C18" s="24"/>
    </row>
    <row r="19">
      <c r="B19" s="24" t="s">
        <v>20</v>
      </c>
      <c r="C19" s="24" t="s">
        <v>21</v>
      </c>
    </row>
    <row r="20">
      <c r="B20" s="24" t="s">
        <v>22</v>
      </c>
      <c r="C20" s="24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D1"/>
  </mergeCells>
  <hyperlinks>
    <hyperlink r:id="rId1" ref="C1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5.63"/>
    <col customWidth="1" min="3" max="3" width="19.13"/>
    <col customWidth="1" min="4" max="6" width="12.63"/>
  </cols>
  <sheetData>
    <row r="1">
      <c r="A1" s="29" t="s">
        <v>23</v>
      </c>
      <c r="B1" s="29" t="s">
        <v>24</v>
      </c>
      <c r="C1" s="29" t="s">
        <v>25</v>
      </c>
      <c r="D1" s="29" t="s">
        <v>26</v>
      </c>
      <c r="E1" s="29" t="s">
        <v>27</v>
      </c>
    </row>
    <row r="2">
      <c r="A2" s="30">
        <v>1.0</v>
      </c>
      <c r="B2" s="31" t="s">
        <v>28</v>
      </c>
      <c r="C2" s="32" t="s">
        <v>29</v>
      </c>
      <c r="D2" s="32"/>
      <c r="E2" s="32"/>
    </row>
    <row r="3">
      <c r="A3" s="30">
        <v>2.0</v>
      </c>
      <c r="B3" s="33" t="s">
        <v>30</v>
      </c>
      <c r="C3" s="34" t="s">
        <v>31</v>
      </c>
      <c r="D3" s="32"/>
      <c r="E3" s="32"/>
    </row>
    <row r="4">
      <c r="A4" s="35" t="s">
        <v>32</v>
      </c>
      <c r="B4" s="36"/>
      <c r="C4" s="36"/>
      <c r="D4" s="36"/>
      <c r="E4" s="36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0.25"/>
    <col customWidth="1" min="3" max="3" width="12.63"/>
    <col customWidth="1" min="4" max="4" width="15.88"/>
    <col customWidth="1" min="5" max="5" width="23.75"/>
    <col customWidth="1" min="6" max="6" width="62.5"/>
    <col customWidth="1" min="10" max="10" width="38.63"/>
    <col customWidth="1" min="13" max="13" width="14.88"/>
  </cols>
  <sheetData>
    <row r="1">
      <c r="A1" s="37" t="s">
        <v>23</v>
      </c>
      <c r="B1" s="37" t="s">
        <v>33</v>
      </c>
      <c r="C1" s="37" t="s">
        <v>34</v>
      </c>
      <c r="D1" s="37" t="s">
        <v>25</v>
      </c>
      <c r="E1" s="37" t="s">
        <v>35</v>
      </c>
      <c r="F1" s="37" t="s">
        <v>36</v>
      </c>
      <c r="G1" s="37" t="s">
        <v>37</v>
      </c>
      <c r="H1" s="37" t="s">
        <v>38</v>
      </c>
      <c r="I1" s="37" t="s">
        <v>39</v>
      </c>
      <c r="J1" s="37" t="s">
        <v>40</v>
      </c>
      <c r="K1" s="37" t="s">
        <v>41</v>
      </c>
      <c r="L1" s="37" t="s">
        <v>42</v>
      </c>
      <c r="M1" s="37" t="s">
        <v>43</v>
      </c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>
      <c r="A2" s="39" t="s">
        <v>44</v>
      </c>
      <c r="B2" s="39" t="s">
        <v>45</v>
      </c>
      <c r="C2" s="39" t="s">
        <v>46</v>
      </c>
      <c r="D2" s="39" t="s">
        <v>47</v>
      </c>
      <c r="E2" s="39" t="s">
        <v>48</v>
      </c>
      <c r="F2" s="40" t="s">
        <v>49</v>
      </c>
      <c r="G2" s="41" t="s">
        <v>50</v>
      </c>
      <c r="H2" s="41" t="s">
        <v>51</v>
      </c>
      <c r="I2" s="41" t="s">
        <v>52</v>
      </c>
      <c r="J2" s="42"/>
      <c r="K2" s="39" t="s">
        <v>53</v>
      </c>
      <c r="L2" s="43">
        <v>2.2127223E7</v>
      </c>
      <c r="M2" s="39" t="s">
        <v>54</v>
      </c>
      <c r="N2" s="2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>
      <c r="A3" s="39" t="s">
        <v>55</v>
      </c>
      <c r="B3" s="39" t="s">
        <v>45</v>
      </c>
      <c r="C3" s="39" t="s">
        <v>56</v>
      </c>
      <c r="D3" s="39" t="s">
        <v>57</v>
      </c>
      <c r="E3" s="39" t="s">
        <v>58</v>
      </c>
      <c r="F3" s="40" t="s">
        <v>59</v>
      </c>
      <c r="G3" s="41" t="s">
        <v>50</v>
      </c>
      <c r="H3" s="41" t="s">
        <v>51</v>
      </c>
      <c r="I3" s="41" t="s">
        <v>52</v>
      </c>
      <c r="J3" s="42"/>
      <c r="K3" s="39" t="s">
        <v>53</v>
      </c>
      <c r="L3" s="43">
        <v>2.2127223E7</v>
      </c>
      <c r="M3" s="39" t="s">
        <v>54</v>
      </c>
      <c r="N3" s="2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</row>
    <row r="4">
      <c r="A4" s="39" t="s">
        <v>60</v>
      </c>
      <c r="B4" s="39" t="s">
        <v>45</v>
      </c>
      <c r="C4" s="39" t="s">
        <v>61</v>
      </c>
      <c r="D4" s="39" t="s">
        <v>62</v>
      </c>
      <c r="E4" s="39" t="s">
        <v>63</v>
      </c>
      <c r="F4" s="40" t="s">
        <v>64</v>
      </c>
      <c r="G4" s="41" t="s">
        <v>65</v>
      </c>
      <c r="H4" s="41" t="s">
        <v>51</v>
      </c>
      <c r="I4" s="41" t="s">
        <v>66</v>
      </c>
      <c r="J4" s="42"/>
      <c r="K4" s="39" t="s">
        <v>53</v>
      </c>
      <c r="L4" s="43">
        <v>2.2127223E7</v>
      </c>
      <c r="M4" s="39" t="s">
        <v>54</v>
      </c>
      <c r="N4" s="2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</row>
    <row r="5">
      <c r="A5" s="45" t="s">
        <v>32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</row>
    <row r="18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</row>
    <row r="19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</row>
    <row r="20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</row>
    <row r="2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hyperlinks>
    <hyperlink r:id="rId1" location="/auth/login" ref="F2"/>
    <hyperlink r:id="rId2" location="/auth/login" ref="F3"/>
    <hyperlink r:id="rId3" location="/auth/login" ref="F4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2.63"/>
    <col customWidth="1" min="3" max="13" width="8.88"/>
  </cols>
  <sheetData>
    <row r="1">
      <c r="A1" s="46" t="s">
        <v>67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>
      <c r="A2" s="37" t="s">
        <v>23</v>
      </c>
      <c r="B2" s="37" t="s">
        <v>25</v>
      </c>
      <c r="C2" s="37" t="s">
        <v>68</v>
      </c>
      <c r="D2" s="37" t="s">
        <v>65</v>
      </c>
      <c r="E2" s="37" t="s">
        <v>50</v>
      </c>
      <c r="F2" s="37" t="s">
        <v>69</v>
      </c>
      <c r="G2" s="37" t="s">
        <v>70</v>
      </c>
      <c r="H2" s="37" t="s">
        <v>71</v>
      </c>
      <c r="I2" s="37" t="s">
        <v>72</v>
      </c>
      <c r="J2" s="37" t="s">
        <v>73</v>
      </c>
      <c r="K2" s="37" t="s">
        <v>9</v>
      </c>
      <c r="L2" s="37" t="s">
        <v>74</v>
      </c>
      <c r="M2" s="37" t="s">
        <v>75</v>
      </c>
    </row>
    <row r="3">
      <c r="A3" s="48">
        <v>1.0</v>
      </c>
      <c r="B3" s="49" t="str">
        <f>'Requirement List'!C2</f>
        <v>Login</v>
      </c>
      <c r="C3" s="50">
        <f>COUNTIFS('Defect Report'!$L:$L,'Defect Severity Distribution'!$B3,'Defect Report'!$G:$G,C$2)</f>
        <v>0</v>
      </c>
      <c r="D3" s="50">
        <f>COUNTIFS('Defect Report'!$D:$D,'Defect Severity Distribution'!$B3,'Defect Report'!$G:$G,D$2)</f>
        <v>0</v>
      </c>
      <c r="E3" s="50">
        <f>COUNTIFS('Defect Report'!$D:$D,'Defect Severity Distribution'!$B3,'Defect Report'!$G:$G,E$2)</f>
        <v>0</v>
      </c>
      <c r="F3" s="50">
        <f>COUNTIFS('Defect Report'!$D:$D,'Defect Severity Distribution'!$B3,'Defect Report'!$G:$G,F$2)</f>
        <v>0</v>
      </c>
      <c r="G3" s="50">
        <f>COUNTIFS('Defect Report'!$D:$D,'Defect Severity Distribution'!$B3,'Defect Report'!$G:$G,G$2)</f>
        <v>0</v>
      </c>
      <c r="H3" s="50">
        <f>COUNTIFS('Defect Report'!$D:$D,'Defect Severity Distribution'!$B3,'Defect Report'!$G:$G,H$2)</f>
        <v>0</v>
      </c>
      <c r="I3" s="50">
        <f>COUNTIFS('Defect Report'!$D:$D,'Defect Severity Distribution'!$B3,'Defect Report'!$G:$G,I$2)</f>
        <v>0</v>
      </c>
      <c r="J3" s="50">
        <f>COUNTIFS('Defect Report'!$D:$D,'Defect Severity Distribution'!$B3,'Defect Report'!$G:$G,J$2)</f>
        <v>0</v>
      </c>
      <c r="K3" s="51">
        <f t="shared" ref="K3:K4" si="1">SUM(C3:F3)</f>
        <v>0</v>
      </c>
      <c r="L3" s="50">
        <f>COUNTIFS('Defect Report'!$D:$D,'Defect Severity Distribution'!$B3,'Defect Report'!$C:$C,"Closed")</f>
        <v>0</v>
      </c>
      <c r="M3" s="50">
        <f t="shared" ref="M3:M4" si="2">K3-L3</f>
        <v>0</v>
      </c>
    </row>
    <row r="4">
      <c r="A4" s="48">
        <v>2.0</v>
      </c>
      <c r="B4" s="49" t="str">
        <f>'Requirement List'!C3</f>
        <v>Sign up</v>
      </c>
      <c r="C4" s="50">
        <f>COUNTIFS('Defect Report'!$D:$D,'Defect Severity Distribution'!$B4,'Defect Report'!$G:$G,C$2)</f>
        <v>0</v>
      </c>
      <c r="D4" s="50">
        <f>COUNTIFS('Defect Report'!$D:$D,'Defect Severity Distribution'!$B4,'Defect Report'!$G:$G,D$2)</f>
        <v>0</v>
      </c>
      <c r="E4" s="50">
        <f>COUNTIFS('Defect Report'!$D:$D,'Defect Severity Distribution'!$B4,'Defect Report'!$G:$G,E$2)</f>
        <v>0</v>
      </c>
      <c r="F4" s="50">
        <f>COUNTIFS('Defect Report'!$D:$D,'Defect Severity Distribution'!$B4,'Defect Report'!$G:$G,F$2)</f>
        <v>0</v>
      </c>
      <c r="G4" s="50">
        <f>COUNTIFS('Defect Report'!$D:$D,'Defect Severity Distribution'!$B4,'Defect Report'!$G:$G,G$2)</f>
        <v>0</v>
      </c>
      <c r="H4" s="50">
        <f>COUNTIFS('Defect Report'!$D:$D,'Defect Severity Distribution'!$B4,'Defect Report'!$G:$G,H$2)</f>
        <v>0</v>
      </c>
      <c r="I4" s="50">
        <f>COUNTIFS('Defect Report'!$D:$D,'Defect Severity Distribution'!$B4,'Defect Report'!$G:$G,I$2)</f>
        <v>0</v>
      </c>
      <c r="J4" s="50">
        <f>COUNTIFS('Defect Report'!$D:$D,'Defect Severity Distribution'!$B4,'Defect Report'!$G:$G,J$2)</f>
        <v>0</v>
      </c>
      <c r="K4" s="51">
        <f t="shared" si="1"/>
        <v>0</v>
      </c>
      <c r="L4" s="50">
        <f>COUNTIFS('Defect Report'!$D:$D,'Defect Severity Distribution'!$B4,'Defect Report'!$C:$C,"Closed")</f>
        <v>0</v>
      </c>
      <c r="M4" s="50">
        <f t="shared" si="2"/>
        <v>0</v>
      </c>
    </row>
    <row r="5">
      <c r="A5" s="52" t="s">
        <v>32</v>
      </c>
      <c r="B5" s="53" t="s">
        <v>9</v>
      </c>
      <c r="C5" s="54">
        <f t="shared" ref="C5:M5" si="3">SUM(C3:C4)</f>
        <v>0</v>
      </c>
      <c r="D5" s="54">
        <f t="shared" si="3"/>
        <v>0</v>
      </c>
      <c r="E5" s="54">
        <f t="shared" si="3"/>
        <v>0</v>
      </c>
      <c r="F5" s="54">
        <f t="shared" si="3"/>
        <v>0</v>
      </c>
      <c r="G5" s="54">
        <f t="shared" si="3"/>
        <v>0</v>
      </c>
      <c r="H5" s="54">
        <f t="shared" si="3"/>
        <v>0</v>
      </c>
      <c r="I5" s="54">
        <f t="shared" si="3"/>
        <v>0</v>
      </c>
      <c r="J5" s="54">
        <f t="shared" si="3"/>
        <v>0</v>
      </c>
      <c r="K5" s="54">
        <f t="shared" si="3"/>
        <v>0</v>
      </c>
      <c r="L5" s="54">
        <f t="shared" si="3"/>
        <v>0</v>
      </c>
      <c r="M5" s="54">
        <f t="shared" si="3"/>
        <v>0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mergeCells count="1">
    <mergeCell ref="A1:M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9.75"/>
    <col customWidth="1" min="3" max="3" width="17.5"/>
    <col customWidth="1" min="4" max="4" width="21.13"/>
    <col customWidth="1" min="5" max="6" width="12.63"/>
  </cols>
  <sheetData>
    <row r="1">
      <c r="A1" s="46" t="s">
        <v>76</v>
      </c>
      <c r="B1" s="47"/>
      <c r="C1" s="47"/>
      <c r="D1" s="47"/>
      <c r="E1" s="47"/>
      <c r="F1" s="47"/>
      <c r="G1" s="47"/>
    </row>
    <row r="2">
      <c r="A2" s="55" t="s">
        <v>77</v>
      </c>
      <c r="B2" s="55" t="s">
        <v>66</v>
      </c>
      <c r="C2" s="55" t="s">
        <v>52</v>
      </c>
      <c r="D2" s="55" t="s">
        <v>78</v>
      </c>
      <c r="E2" s="55" t="s">
        <v>79</v>
      </c>
      <c r="F2" s="55" t="s">
        <v>80</v>
      </c>
      <c r="G2" s="56" t="s">
        <v>81</v>
      </c>
    </row>
    <row r="3">
      <c r="A3" s="57">
        <v>2.2127223E7</v>
      </c>
      <c r="B3" s="58">
        <f>COUNTIFS('Defect Report'!$L:$L,$A3,'Defect Report'!$I:$I,B$2)</f>
        <v>1</v>
      </c>
      <c r="C3" s="58">
        <f>COUNTIFS('Defect Report'!$L:$L,$A3,'Defect Report'!$I:$I,C$2)</f>
        <v>2</v>
      </c>
      <c r="D3" s="58">
        <f>COUNTIFS('Defect Report'!$L:$L,$A3,'Defect Report'!$I:$I,D$2)</f>
        <v>0</v>
      </c>
      <c r="E3" s="58">
        <f>COUNTIFS('Defect Report'!$L:$L,$A3,'Defect Report'!$I:$I,E$2)</f>
        <v>0</v>
      </c>
      <c r="F3" s="58">
        <f>COUNTIFS('Defect Report'!$L:$L,$A3,'Defect Report'!$I:$I,F$2)</f>
        <v>0</v>
      </c>
      <c r="G3" s="59">
        <f>sum(B3:F3)</f>
        <v>3</v>
      </c>
    </row>
    <row r="4">
      <c r="A4" s="60" t="s">
        <v>9</v>
      </c>
      <c r="B4" s="61">
        <f>sum(G3)</f>
        <v>3</v>
      </c>
      <c r="C4" s="2"/>
      <c r="D4" s="2"/>
      <c r="E4" s="2"/>
      <c r="F4" s="2"/>
      <c r="G4" s="62"/>
    </row>
    <row r="5">
      <c r="A5" s="63"/>
      <c r="B5" s="63"/>
      <c r="C5" s="63"/>
      <c r="D5" s="63"/>
      <c r="E5" s="63"/>
      <c r="F5" s="63"/>
      <c r="G5" s="63"/>
    </row>
    <row r="6">
      <c r="A6" s="64" t="s">
        <v>82</v>
      </c>
      <c r="B6" s="2"/>
      <c r="C6" s="62"/>
      <c r="E6" s="63"/>
      <c r="F6" s="63"/>
      <c r="G6" s="63"/>
    </row>
    <row r="7">
      <c r="A7" s="55" t="s">
        <v>77</v>
      </c>
      <c r="B7" s="56" t="s">
        <v>83</v>
      </c>
      <c r="C7" s="56" t="s">
        <v>84</v>
      </c>
      <c r="E7" s="63"/>
      <c r="F7" s="63"/>
      <c r="G7" s="63"/>
    </row>
    <row r="8">
      <c r="A8" s="57">
        <v>2.2127223E7</v>
      </c>
      <c r="B8" s="58">
        <f>countifs('Defect Report'!$L:$L,$A8,'Defect Report'!$K:$K,TODAY())</f>
        <v>0</v>
      </c>
      <c r="C8" s="58">
        <f>countifs('Defect Report'!$L:$L,$A8,'Defect Report'!$B:$B,"&lt;&gt;""")</f>
        <v>3</v>
      </c>
      <c r="E8" s="63"/>
      <c r="F8" s="63"/>
      <c r="G8" s="63"/>
    </row>
    <row r="9">
      <c r="A9" s="65" t="s">
        <v>85</v>
      </c>
      <c r="B9" s="58">
        <f>countifs('Defect Report'!$L:$L,$A9,'Defect Report'!$K:$K,TODAY())</f>
        <v>0</v>
      </c>
      <c r="C9" s="58">
        <f>countifs('Defect Report'!$L:$L,$A9,'Defect Report'!$B:$B,"&lt;&gt;""")</f>
        <v>0</v>
      </c>
      <c r="E9" s="63"/>
      <c r="F9" s="63"/>
      <c r="G9" s="63"/>
    </row>
    <row r="10">
      <c r="A10" s="65" t="s">
        <v>86</v>
      </c>
      <c r="B10" s="58">
        <f>countifs('Defect Report'!$L:$L,$A10,'Defect Report'!$K:$K,TODAY())</f>
        <v>0</v>
      </c>
      <c r="C10" s="58">
        <f>countifs('Defect Report'!$L:$L,$A10,'Defect Report'!$B:$B,"&lt;&gt;""")</f>
        <v>0</v>
      </c>
      <c r="E10" s="63"/>
      <c r="F10" s="63"/>
      <c r="G10" s="63"/>
    </row>
    <row r="11">
      <c r="A11" s="60" t="s">
        <v>9</v>
      </c>
      <c r="B11" s="66">
        <f t="shared" ref="B11:C11" si="1">sum(B8:B10)</f>
        <v>0</v>
      </c>
      <c r="C11" s="66">
        <f t="shared" si="1"/>
        <v>3</v>
      </c>
      <c r="E11" s="63"/>
      <c r="F11" s="63"/>
      <c r="G11" s="63"/>
    </row>
    <row r="12">
      <c r="A12" s="63"/>
      <c r="B12" s="63"/>
      <c r="C12" s="63"/>
      <c r="D12" s="63"/>
      <c r="E12" s="63"/>
      <c r="F12" s="63"/>
      <c r="G12" s="63"/>
    </row>
    <row r="13">
      <c r="A13" s="64" t="s">
        <v>87</v>
      </c>
      <c r="B13" s="2"/>
      <c r="C13" s="2"/>
      <c r="D13" s="2"/>
      <c r="E13" s="62"/>
      <c r="F13" s="63"/>
      <c r="G13" s="63"/>
    </row>
    <row r="14">
      <c r="A14" s="55" t="s">
        <v>43</v>
      </c>
      <c r="B14" s="56" t="s">
        <v>88</v>
      </c>
      <c r="C14" s="56" t="s">
        <v>89</v>
      </c>
      <c r="D14" s="56" t="s">
        <v>90</v>
      </c>
      <c r="E14" s="56" t="s">
        <v>41</v>
      </c>
      <c r="F14" s="63"/>
      <c r="G14" s="63"/>
    </row>
    <row r="15">
      <c r="A15" s="67" t="s">
        <v>54</v>
      </c>
      <c r="B15" s="58">
        <f>countifs( 'Defect Report'!$B:$B,"&lt;&gt;""", 'Defect Report'!$M:$M,$A15)</f>
        <v>3</v>
      </c>
      <c r="C15" s="58">
        <f>countifs('Defect Report'!$C:$C,"Closed", 'Defect Report'!$M:$M,$A15)</f>
        <v>0</v>
      </c>
      <c r="D15" s="58">
        <f>countifs('Defect Report'!$C:$C,"Reopened", 'Defect Report'!$M:$M,$A15)</f>
        <v>0</v>
      </c>
      <c r="E15" s="68"/>
      <c r="F15" s="63"/>
      <c r="G15" s="63"/>
    </row>
    <row r="16">
      <c r="A16" s="65" t="s">
        <v>91</v>
      </c>
      <c r="B16" s="58">
        <f>countifs( 'Defect Report'!$B:$B,"&lt;&gt;""", 'Defect Report'!$M:$M,$A16)</f>
        <v>0</v>
      </c>
      <c r="C16" s="58">
        <f>countifs('Defect Report'!$C:$C,"Closed", 'Defect Report'!$M:$M,$A16)</f>
        <v>0</v>
      </c>
      <c r="D16" s="58">
        <f>countifs('Defect Report'!$C:$C,"Reopened", 'Defect Report'!$M:$M,$A16)</f>
        <v>0</v>
      </c>
      <c r="E16" s="68"/>
      <c r="F16" s="63"/>
      <c r="G16" s="63"/>
    </row>
    <row r="17">
      <c r="A17" s="65" t="s">
        <v>92</v>
      </c>
      <c r="B17" s="58">
        <f>countifs( 'Defect Report'!$B:$B,"&lt;&gt;""", 'Defect Report'!$M:$M,$A17)</f>
        <v>0</v>
      </c>
      <c r="C17" s="58">
        <f>countifs('Defect Report'!$C:$C,"Closed", 'Defect Report'!$M:$M,$A17)</f>
        <v>0</v>
      </c>
      <c r="D17" s="58">
        <f>countifs('Defect Report'!$C:$C,"Reopened", 'Defect Report'!$M:$M,$A17)</f>
        <v>0</v>
      </c>
      <c r="E17" s="68"/>
      <c r="F17" s="63"/>
      <c r="G17" s="63"/>
    </row>
    <row r="18">
      <c r="A18" s="60" t="s">
        <v>9</v>
      </c>
      <c r="B18" s="66">
        <f t="shared" ref="B18:D18" si="2">sum(B15:B17)</f>
        <v>3</v>
      </c>
      <c r="C18" s="66">
        <f t="shared" si="2"/>
        <v>0</v>
      </c>
      <c r="D18" s="66">
        <f t="shared" si="2"/>
        <v>0</v>
      </c>
      <c r="E18" s="69"/>
      <c r="F18" s="63"/>
      <c r="G18" s="6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</sheetData>
  <mergeCells count="4">
    <mergeCell ref="A1:G1"/>
    <mergeCell ref="B4:G4"/>
    <mergeCell ref="A6:C6"/>
    <mergeCell ref="A13:E1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65.63"/>
    <col customWidth="1" min="3" max="6" width="12.63"/>
  </cols>
  <sheetData>
    <row r="1">
      <c r="A1" s="29" t="s">
        <v>39</v>
      </c>
      <c r="B1" s="63"/>
    </row>
    <row r="2">
      <c r="A2" s="70" t="s">
        <v>66</v>
      </c>
      <c r="B2" s="63"/>
    </row>
    <row r="3">
      <c r="A3" s="70" t="s">
        <v>52</v>
      </c>
      <c r="B3" s="63"/>
    </row>
    <row r="4">
      <c r="A4" s="70" t="s">
        <v>78</v>
      </c>
      <c r="B4" s="63"/>
    </row>
    <row r="5">
      <c r="A5" s="70" t="s">
        <v>79</v>
      </c>
      <c r="B5" s="63"/>
    </row>
    <row r="6">
      <c r="A6" s="70" t="s">
        <v>80</v>
      </c>
      <c r="B6" s="63"/>
    </row>
    <row r="7">
      <c r="A7" s="63"/>
      <c r="B7" s="63"/>
    </row>
    <row r="8">
      <c r="A8" s="29" t="s">
        <v>93</v>
      </c>
      <c r="B8" s="63"/>
    </row>
    <row r="9">
      <c r="A9" s="70" t="s">
        <v>45</v>
      </c>
      <c r="B9" s="71" t="s">
        <v>94</v>
      </c>
    </row>
    <row r="10">
      <c r="A10" s="70" t="s">
        <v>95</v>
      </c>
      <c r="B10" s="71" t="s">
        <v>96</v>
      </c>
    </row>
    <row r="11">
      <c r="A11" s="70" t="s">
        <v>97</v>
      </c>
      <c r="B11" s="71"/>
    </row>
    <row r="12">
      <c r="A12" s="63"/>
      <c r="B12" s="63"/>
    </row>
    <row r="13">
      <c r="A13" s="63"/>
      <c r="B13" s="63"/>
    </row>
    <row r="14">
      <c r="A14" s="29" t="s">
        <v>37</v>
      </c>
      <c r="B14" s="29" t="s">
        <v>98</v>
      </c>
    </row>
    <row r="15">
      <c r="A15" s="70" t="s">
        <v>68</v>
      </c>
      <c r="B15" s="70" t="s">
        <v>99</v>
      </c>
    </row>
    <row r="16">
      <c r="A16" s="70" t="s">
        <v>65</v>
      </c>
      <c r="B16" s="70" t="s">
        <v>100</v>
      </c>
    </row>
    <row r="17">
      <c r="A17" s="70" t="s">
        <v>50</v>
      </c>
      <c r="B17" s="70" t="s">
        <v>101</v>
      </c>
    </row>
    <row r="18">
      <c r="A18" s="70" t="s">
        <v>69</v>
      </c>
      <c r="B18" s="70" t="s">
        <v>102</v>
      </c>
    </row>
    <row r="19">
      <c r="A19" s="70" t="s">
        <v>70</v>
      </c>
      <c r="B19" s="70" t="s">
        <v>103</v>
      </c>
    </row>
    <row r="20">
      <c r="A20" s="70" t="s">
        <v>71</v>
      </c>
      <c r="B20" s="70" t="s">
        <v>104</v>
      </c>
    </row>
    <row r="21">
      <c r="A21" s="70" t="s">
        <v>72</v>
      </c>
      <c r="B21" s="70" t="s">
        <v>105</v>
      </c>
    </row>
    <row r="22">
      <c r="A22" s="70" t="s">
        <v>73</v>
      </c>
      <c r="B22" s="70" t="s">
        <v>106</v>
      </c>
    </row>
    <row r="23">
      <c r="A23" s="63"/>
      <c r="B23" s="63"/>
    </row>
    <row r="24">
      <c r="A24" s="29" t="s">
        <v>38</v>
      </c>
      <c r="B24" s="63"/>
    </row>
    <row r="25">
      <c r="A25" s="70" t="s">
        <v>51</v>
      </c>
      <c r="B25" s="63"/>
    </row>
    <row r="26">
      <c r="A26" s="70" t="s">
        <v>107</v>
      </c>
      <c r="B26" s="63"/>
    </row>
    <row r="27">
      <c r="A27" s="70" t="s">
        <v>108</v>
      </c>
      <c r="B27" s="63"/>
    </row>
    <row r="28">
      <c r="A28" s="70" t="s">
        <v>109</v>
      </c>
    </row>
    <row r="29">
      <c r="A29" s="70" t="s">
        <v>110</v>
      </c>
    </row>
    <row r="30">
      <c r="A30" s="70" t="s">
        <v>111</v>
      </c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