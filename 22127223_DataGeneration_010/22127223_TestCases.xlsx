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lf-Assessment" sheetId="1" r:id="rId4"/>
    <sheet state="visible" name="Requirement List" sheetId="2" r:id="rId5"/>
    <sheet state="visible" name="Test Types" sheetId="3" r:id="rId6"/>
    <sheet state="visible" name="Test Cases" sheetId="4" r:id="rId7"/>
    <sheet state="visible" name="Test Summary Report" sheetId="5" r:id="rId8"/>
    <sheet state="visible" name="Legend" sheetId="6" r:id="rId9"/>
  </sheets>
  <definedNames/>
  <calcPr/>
  <extLst>
    <ext uri="GoogleSheetsCustomDataVersion2">
      <go:sheetsCustomData xmlns:go="http://customooxmlschemas.google.com/" r:id="rId10" roundtripDataChecksum="V3Z767jGWTkIg9F7VRmoh+DkxwVkuPo7JXlXWBe432I="/>
    </ext>
  </extLst>
</workbook>
</file>

<file path=xl/sharedStrings.xml><?xml version="1.0" encoding="utf-8"?>
<sst xmlns="http://schemas.openxmlformats.org/spreadsheetml/2006/main" count="396" uniqueCount="281">
  <si>
    <t>Seft-Assessment</t>
  </si>
  <si>
    <t>No</t>
  </si>
  <si>
    <t>Criteria</t>
  </si>
  <si>
    <t>MAX Score</t>
  </si>
  <si>
    <t>Student ID2</t>
  </si>
  <si>
    <t>Student ID3</t>
  </si>
  <si>
    <t>Student ID4</t>
  </si>
  <si>
    <t>Các TC của các thành viên trong nhóm không trùng nhau. Tên TC được viết ngắn gọn, rõ ràng, mô tả rõ cần kiểm tra gì và kết quả mong đợi. TC không được quá phức tạp (kiểm tra nhiều điều kiện cùng một lúc). Các bước thực hiện của TC được mô tả rõ ràng, có dữ liệu cụ thể. Số lượng TC của mỗi thành viên phụ thuộc vào số thành viên trong nhóm theo qui định,
Score = MIN(4, Number of TC/Hệ số thành viên)</t>
  </si>
  <si>
    <t>Các TC nên bao phủ tất cả các chức năng yêu cầu của website.
Score = MIN(2.5, Number of requirements * 0.5)</t>
  </si>
  <si>
    <t>Các TC nên phủ tối thiểu 5 loại kiểm thử như kiểm chức năng, kiểm giao diện &amp; tính tiện dụng, kiểm hiệu năng, kiểm bảo mật, kiểm tương thích.
Score = MIN(2.5, Number of Test Type * 0.5)</t>
  </si>
  <si>
    <t>Trình bày rõ ràng, đúng mẫu quy định</t>
  </si>
  <si>
    <t>Total</t>
  </si>
  <si>
    <t>Số thành viên trong nhóm:</t>
  </si>
  <si>
    <t>Lưu ý: 1 nhóm tối đa 4 thành viên</t>
  </si>
  <si>
    <t>Số thành viên của nhóm:</t>
  </si>
  <si>
    <t>Hệ số</t>
  </si>
  <si>
    <t>Nhóm có &gt;= 4 thành viên, mỗi thành viên có ít nhất 8 TC.</t>
  </si>
  <si>
    <t>Nhóm có 3 thành viên, mỗi thành viên có ít nhất 12 TC.</t>
  </si>
  <si>
    <t>Nhóm có 2 thành viên, mỗi thành viên có ít nhất 16 TC.</t>
  </si>
  <si>
    <t>Nhóm có 1 thành viên (làm cá nhân), thành viên có ít nhất 20 TC.</t>
  </si>
  <si>
    <t>No.</t>
  </si>
  <si>
    <t>ID</t>
  </si>
  <si>
    <t>Requirement Name</t>
  </si>
  <si>
    <t>Details</t>
  </si>
  <si>
    <t>Remark</t>
  </si>
  <si>
    <t>Number of TCs</t>
  </si>
  <si>
    <t>R001</t>
  </si>
  <si>
    <t>&lt;&lt;&lt; Insert New Line above this line &gt;&gt;&gt;</t>
  </si>
  <si>
    <t>Test Type</t>
  </si>
  <si>
    <t>Test Execution</t>
  </si>
  <si>
    <t>Scenario ID</t>
  </si>
  <si>
    <t>Scenario Name</t>
  </si>
  <si>
    <t>Description</t>
  </si>
  <si>
    <t>Preconditions</t>
  </si>
  <si>
    <t>Test steps</t>
  </si>
  <si>
    <t>Expected Results</t>
  </si>
  <si>
    <t>Test Data</t>
  </si>
  <si>
    <t>Priority</t>
  </si>
  <si>
    <t>Category</t>
  </si>
  <si>
    <t>Created By</t>
  </si>
  <si>
    <t>Actual Result</t>
  </si>
  <si>
    <t>Status</t>
  </si>
  <si>
    <t>Bug ID</t>
  </si>
  <si>
    <t>Tester</t>
  </si>
  <si>
    <t>Tested Date</t>
  </si>
  <si>
    <t>SC001</t>
  </si>
  <si>
    <t>Successful User Registration</t>
  </si>
  <si>
    <t>New user successfully registers with valid data</t>
  </si>
  <si>
    <t>User is on registration page</t>
  </si>
  <si>
    <t>1. Fill first_name with valid name
2. Fill last_name with valid name
3. Fill email with valid email format
4. Fill password with 9-40 characters
5. Fill phone with 10 digits
6. Fill dob with valid date
7. Fill address with valid address
8. Fill city with valid city
9. Fill state with valid state
10. Fill country with valid country
11. Fill postcode with 5 digits
12. Click Register button</t>
  </si>
  <si>
    <t>1. User account is created successfully
2. Success message displayed
3. Redirected to login page
4. No validation errors</t>
  </si>
  <si>
    <t>TD001-TD100 (Valid Sign Up data)</t>
  </si>
  <si>
    <t>High</t>
  </si>
  <si>
    <t>Happy Path</t>
  </si>
  <si>
    <t>1. User account created successfully
2. No success message displayed (bug)
3. Redirected to login page
4. No validation errors</t>
  </si>
  <si>
    <t>Passed</t>
  </si>
  <si>
    <t>BUG001</t>
  </si>
  <si>
    <t>Missing success message</t>
  </si>
  <si>
    <t>SC002</t>
  </si>
  <si>
    <t>Successful User Login</t>
  </si>
  <si>
    <t>Registered user successfully logs in</t>
  </si>
  <si>
    <t>User has valid account</t>
  </si>
  <si>
    <t>1. Enter valid email address
2. Enter valid password
3. Click Login button</t>
  </si>
  <si>
    <t>1. User is authenticated successfully
2. JWT token generated
3. Redirected to account page
4. No error messages</t>
  </si>
  <si>
    <t>TD101-TD150 (Valid Sign In data)</t>
  </si>
  <si>
    <t>1. User authenticated successfully
2. JWT token generated
3. Redirected to account page
4. No error messages</t>
  </si>
  <si>
    <t>SC003</t>
  </si>
  <si>
    <t>Registration with Empty Required Fields</t>
  </si>
  <si>
    <t>User tries to register with empty fields</t>
  </si>
  <si>
    <t>1. Leave first_name empty
2. Leave last_name empty
3. Leave email empty
4. Leave password empty
5. Leave phone empty
6. Leave dob empty
7. Leave address empty
8. Leave city empty
9. Leave state empty
10. Leave country empty
11. Leave postcode empty
12. Click Register button</t>
  </si>
  <si>
    <t>1. Validation errors displayed for all empty fields
2. Form submission prevented
3. User stays on registration page
4. Specific error messages for each field</t>
  </si>
  <si>
    <t>TD151-TD225 (Empty Field data)</t>
  </si>
  <si>
    <t>Negative</t>
  </si>
  <si>
    <t>1. Validation errors displayed for required fields
2. Form submission prevented
3. User stays on registration page
4. Generic error messages (not specific)</t>
  </si>
  <si>
    <t>BUG002</t>
  </si>
  <si>
    <t>Generic error messages instead of specific ones</t>
  </si>
  <si>
    <t>SC004</t>
  </si>
  <si>
    <t>Registration with Invalid Email Format</t>
  </si>
  <si>
    <t>User tries to register with invalid email</t>
  </si>
  <si>
    <t>1. Fill form with invalid email format
2. Fill other fields with valid data
3. Click Register button</t>
  </si>
  <si>
    <t>1. Email validation error displayed
2. Form submission prevented
3. User stays on registration page
4. Clear error message about email format</t>
  </si>
  <si>
    <t>TD226-TD300 (Invalid Format data)</t>
  </si>
  <si>
    <t>SC005</t>
  </si>
  <si>
    <t>Registration with Invalid Name Format</t>
  </si>
  <si>
    <t>User tries to register with numbers in name</t>
  </si>
  <si>
    <t>1. Enter first_name with numbers
2. Enter last_name with special characters
3. Fill other fields with valid data
4. Click Register button</t>
  </si>
  <si>
    <t>1. Name validation error displayed
2. Form submission prevented
3. User stays on registration page
4. Clear error message about name format</t>
  </si>
  <si>
    <t>TD301-TD325 (Special Characters data)</t>
  </si>
  <si>
    <t>1. Name validation error displayed
2. Form submission prevented
3. User stays on registration page
4. Generic 'Invalid character' message</t>
  </si>
  <si>
    <t>BUG003</t>
  </si>
  <si>
    <t>Generic error message instead of specific format error</t>
  </si>
  <si>
    <t>SC006</t>
  </si>
  <si>
    <t>Registration with Invalid Phone Format</t>
  </si>
  <si>
    <t>User tries to register with letters in phone</t>
  </si>
  <si>
    <t>1. Enter phone with letters
2. Enter phone with special characters
3. Fill other fields with valid data
4. Click Register button</t>
  </si>
  <si>
    <t>1. Phone validation error displayed
2. Form submission prevented
3. User stays on registration page
4. Clear error message about phone format</t>
  </si>
  <si>
    <t>TD326-TD350 (Invalid Format data)</t>
  </si>
  <si>
    <t>1. Phone validation error displayed
2. Form submission prevented
3. User stays on registration page
4. Generic 'Invalid character' message</t>
  </si>
  <si>
    <t>BUG004</t>
  </si>
  <si>
    <t>Generic error message instead of specific phone format error</t>
  </si>
  <si>
    <t>SC007</t>
  </si>
  <si>
    <t>Registration with Short Password</t>
  </si>
  <si>
    <t>User tries to register with short password</t>
  </si>
  <si>
    <t>1. Enter password less than 9 characters
2. Fill other fields with valid data
3. Click Register button</t>
  </si>
  <si>
    <t>1. Password length error displayed
2. Form submission prevented
3. User stays on registration page
4. Clear error message about minimum length</t>
  </si>
  <si>
    <t>TD351-TD375 (Password Too Short data)</t>
  </si>
  <si>
    <t>√</t>
  </si>
  <si>
    <t>SC008</t>
  </si>
  <si>
    <t>Registration with Long Password</t>
  </si>
  <si>
    <t>User tries to register with very long password</t>
  </si>
  <si>
    <t>1. Enter password more than 40 characters
2. Fill other fields with valid data
3. Click Register button</t>
  </si>
  <si>
    <t>1. Password length error displayed
2. Form submission prevented
3. User stays on registration page
4. Clear error message about maximum length</t>
  </si>
  <si>
    <t>TD376-TD400 (Password Too Long data)</t>
  </si>
  <si>
    <t>SC009</t>
  </si>
  <si>
    <t>Login with Invalid Credentials</t>
  </si>
  <si>
    <t>User tries to login with wrong credentials</t>
  </si>
  <si>
    <t>User is on login page</t>
  </si>
  <si>
    <t>1. Enter valid email with wrong password
2. Enter wrong email with valid password
3. Enter wrong email and wrong password
4. Click Login button</t>
  </si>
  <si>
    <t>1. Invalid credentials error displayed
2. User stays on login page
3. No authentication token generated
4. Clear error message about invalid credentials</t>
  </si>
  <si>
    <t>TD401-TD425 (Invalid Format data)</t>
  </si>
  <si>
    <t>SC010</t>
  </si>
  <si>
    <t>Login with Empty Fields</t>
  </si>
  <si>
    <t>User tries to login with empty fields</t>
  </si>
  <si>
    <t>1. Leave email empty
2. Leave password empty
3. Leave both email and password empty
4. Click Login button</t>
  </si>
  <si>
    <t>1. Required field errors displayed
2. Form submission prevented
3. User stays on login page
4. Clear error messages for empty fields</t>
  </si>
  <si>
    <t>TD426-TD450 (Empty Field data)</t>
  </si>
  <si>
    <t>SC011</t>
  </si>
  <si>
    <t>Registration with Duplicate Email</t>
  </si>
  <si>
    <t>User tries to register with existing email</t>
  </si>
  <si>
    <t>Email already exists in system</t>
  </si>
  <si>
    <t>1. Fill form with existing email address
2. Fill other fields with valid data
3. Click Register button</t>
  </si>
  <si>
    <t>1. Duplicate email error displayed
2. Form submission prevented
3. User stays on registration page
4. Clear error message about duplicate email</t>
  </si>
  <si>
    <t>TD451-TD460 (Duplicate Email data)</t>
  </si>
  <si>
    <t>Medium</t>
  </si>
  <si>
    <t>1. Duplicate email error displayed
2. Form submission prevented
3. User stays on registration page
4. Inappropriate error message with password hint</t>
  </si>
  <si>
    <t>Failed</t>
  </si>
  <si>
    <t>BUG005</t>
  </si>
  <si>
    <t>Security issue: password hint in error message</t>
  </si>
  <si>
    <t>SC012</t>
  </si>
  <si>
    <t>Account Lockout After Failed Attempts</t>
  </si>
  <si>
    <t>User account gets locked after multiple failed logins</t>
  </si>
  <si>
    <t>User has account with failed attempts</t>
  </si>
  <si>
    <t>1. Attempt login with wrong password
2. Repeat failed login attempts
3. Try login with correct password after lockout
4. Check lockout duration</t>
  </si>
  <si>
    <t>1. Account locked after failed attempts
2. Locked account error displayed
3. Cannot login even with correct password
4. Lockout expires after timeout period</t>
  </si>
  <si>
    <t>TD461-TD475 (Security data)</t>
  </si>
  <si>
    <t>Security</t>
  </si>
  <si>
    <t>1. Account locked after 1 failed attempt (too strict)
2. Locked account error displayed
3. Cannot login even with correct password
4. No lockout expiration mechanism</t>
  </si>
  <si>
    <t>BUG006</t>
  </si>
  <si>
    <t>Account locks after only 1 failed attempt - too strict</t>
  </si>
  <si>
    <t>SC013</t>
  </si>
  <si>
    <t>SQL Injection Attempt</t>
  </si>
  <si>
    <t>Malicious user tries SQL injection</t>
  </si>
  <si>
    <t>User is on login/register page</t>
  </si>
  <si>
    <t>1. Enter SQL injection payload in email field
2. Enter SQL injection payload in password field
3. Enter SQL injection payload in name fields
4. Submit form</t>
  </si>
  <si>
    <t>1. Input properly sanitized
2. No SQL injection vulnerability exploited
3. Appropriate error messages displayed
4. System remains secure</t>
  </si>
  <si>
    <t>TD476-TD490 (SQL Injection data)</t>
  </si>
  <si>
    <t>1. SQL injection vulnerability exists in login
2. Raw SQL query used with user input
3. No input sanitization
4. Critical security vulnerability</t>
  </si>
  <si>
    <t>BUG007</t>
  </si>
  <si>
    <t>Critical SQL injection vulnerability in login</t>
  </si>
  <si>
    <t>SC014</t>
  </si>
  <si>
    <t>XSS Attack Attempt</t>
  </si>
  <si>
    <t>Malicious user tries XSS attack</t>
  </si>
  <si>
    <t>1. Enter XSS payload in first_name field
2. Enter XSS payload in last_name field
3. Enter XSS payload in email field
4. Submit form</t>
  </si>
  <si>
    <t>1. Input properly sanitized
2. No XSS vulnerability exploited
3. Appropriate error messages displayed
4. System remains secure</t>
  </si>
  <si>
    <t>TD491-TD505 (XSS Attack data)</t>
  </si>
  <si>
    <t>1. XSS payload rejected by validation
2. No XSS vulnerability exploited
3. Appropriate error messages displayed
4. System remains secure</t>
  </si>
  <si>
    <t>SC015</t>
  </si>
  <si>
    <t>Boundary Value Testing - Password</t>
  </si>
  <si>
    <t>Test password at boundary values</t>
  </si>
  <si>
    <t>1. Test password with exactly 8 characters
2. Test password with exactly 9 characters
3. Test password with exactly 40 characters
4. Test password with exactly 41 characters
5. Submit form for each test</t>
  </si>
  <si>
    <t>1. Proper validation at boundaries
2. Correct error messages for invalid lengths
3. Successful submission for valid lengths
4. Clear boundary validation feedback</t>
  </si>
  <si>
    <t>TD506-TD530 (Boundary Value data)</t>
  </si>
  <si>
    <t>Boundary</t>
  </si>
  <si>
    <t>SC016</t>
  </si>
  <si>
    <t>Special Characters in Names</t>
  </si>
  <si>
    <t>User tries to register with special characters in names</t>
  </si>
  <si>
    <t>1. Enter first_name with special characters
2. Enter last_name with special characters
3. Fill other fields with valid data
4. Click Register button</t>
  </si>
  <si>
    <t>TD531-TD555 (Special Characters data)</t>
  </si>
  <si>
    <t>BUG008</t>
  </si>
  <si>
    <t>SC017</t>
  </si>
  <si>
    <t>Unicode Characters in Names</t>
  </si>
  <si>
    <t>User tries to register with unicode characters</t>
  </si>
  <si>
    <t>1. Enter first_name with unicode characters
2. Enter last_name with unicode characters
3. Fill other fields with valid data
4. Click Register button</t>
  </si>
  <si>
    <t>TD556-TD580 (Unicode Characters data)</t>
  </si>
  <si>
    <t>BUG009</t>
  </si>
  <si>
    <t>SC018</t>
  </si>
  <si>
    <t>Whitespace Handling</t>
  </si>
  <si>
    <t>User enters data with leading/trailing spaces</t>
  </si>
  <si>
    <t>1. Enter data with leading spaces
2. Enter data with trailing spaces
3. Enter data with both leading and trailing spaces
4. Click Register button</t>
  </si>
  <si>
    <t>1. Proper whitespace handling
2. Validation errors if spaces not allowed
3. Appropriate error messages
4. Consistent behavior across fields</t>
  </si>
  <si>
    <t>TD581-TD595 (Leading/Trailing Spaces data)</t>
  </si>
  <si>
    <t>Data Quality</t>
  </si>
  <si>
    <t>1. Whitespace not properly handled
2. Spaces may cause validation errors
3. Inconsistent behavior across fields
4. No automatic trimming</t>
  </si>
  <si>
    <t>BUG010</t>
  </si>
  <si>
    <t>Whitespace handling inconsistent</t>
  </si>
  <si>
    <t>SC019</t>
  </si>
  <si>
    <t>Very Long Input Handling</t>
  </si>
  <si>
    <t>User enters very long data</t>
  </si>
  <si>
    <t>1. Enter very long strings in text fields
2. Enter very long email addresses
3. Enter very long names
4. Click Register button</t>
  </si>
  <si>
    <t>1. Proper length validation
2. Appropriate error messages
3. System handles long inputs gracefully
4. No system crashes or errors</t>
  </si>
  <si>
    <t>TD596-TD610 (Very Long Input data)</t>
  </si>
  <si>
    <t>SC020</t>
  </si>
  <si>
    <t>Null Value Handling</t>
  </si>
  <si>
    <t>System receives null values</t>
  </si>
  <si>
    <t>1. Submit form with null values
2. Submit form with undefined values
3. Submit form with empty strings
4. Check system response</t>
  </si>
  <si>
    <t>1. Proper null handling
2. Appropriate error messages
3. System remains stable
4. Consistent error handling</t>
  </si>
  <si>
    <t>TD611-TD625 (Null Values data)</t>
  </si>
  <si>
    <t>SC021</t>
  </si>
  <si>
    <t>Concurrent Registration</t>
  </si>
  <si>
    <t>Multiple users register simultaneously</t>
  </si>
  <si>
    <t>System under load</t>
  </si>
  <si>
    <t>1. Multiple users register at same time
2. Use different email addresses
3. Use same email address
4. Check for race conditions</t>
  </si>
  <si>
    <t>1. No data corruption
2. Proper handling of concurrent requests
3. Appropriate error handling for duplicates
4. System performance maintained</t>
  </si>
  <si>
    <t>TD626-TD650 (Valid Sign Up data)</t>
  </si>
  <si>
    <t>Low</t>
  </si>
  <si>
    <t>Performance</t>
  </si>
  <si>
    <t>1. No data corruption observed
2. Proper handling of concurrent requests
3. Appropriate error handling for duplicates
4. System performance maintained</t>
  </si>
  <si>
    <t>SC022</t>
  </si>
  <si>
    <t>Session Management</t>
  </si>
  <si>
    <t>User session handling after login</t>
  </si>
  <si>
    <t>User successfully logged in</t>
  </si>
  <si>
    <t>1. Login successfully
2. Check session timeout
3. Try to access protected pages
4. Logout and verify session cleanup</t>
  </si>
  <si>
    <t>1. Proper session management
2. Session timeout works correctly
3. Proper access control
4. Secure session handling</t>
  </si>
  <si>
    <t>TD651-TD675 (Valid Sign In data)</t>
  </si>
  <si>
    <t>SC023</t>
  </si>
  <si>
    <t>Password Strength Validation</t>
  </si>
  <si>
    <t>Test various password strengths</t>
  </si>
  <si>
    <t>1. Enter weak passwords
2. Enter strong passwords
3. Enter passwords with mixed character types
4. Check validation messages</t>
  </si>
  <si>
    <t>1. Proper password strength validation
2. Helpful error messages
3. Clear strength indicators
4. Appropriate feedback</t>
  </si>
  <si>
    <t>TD676-TD700 (Password data)</t>
  </si>
  <si>
    <t>1. Only length validation (no strength validation)
2. No helpful error messages about strength
3. No strength indicators
4. Minimal feedback</t>
  </si>
  <si>
    <t>BUG011</t>
  </si>
  <si>
    <t>No password strength validation</t>
  </si>
  <si>
    <t>SC024</t>
  </si>
  <si>
    <t>Email Verification Flow</t>
  </si>
  <si>
    <t>Test email verification process</t>
  </si>
  <si>
    <t>User successfully registered</t>
  </si>
  <si>
    <t>1. Check if verification email sent
2. Click verification link
3. Verify account activation
4. Try login before verification</t>
  </si>
  <si>
    <t>1. Verification email sent
2. Account properly verified
3. Can login after verification
4. Cannot login before verification</t>
  </si>
  <si>
    <t>TD701-TD725 (Email data)</t>
  </si>
  <si>
    <t>Email Flow</t>
  </si>
  <si>
    <t>1. Verification email sent (local environment only)
2. No verification mechanism implemented
3. Can login without verification
4. No verification requirement</t>
  </si>
  <si>
    <t>BUG012</t>
  </si>
  <si>
    <t>No email verification mechanism</t>
  </si>
  <si>
    <t>SC025</t>
  </si>
  <si>
    <t>Password Reset Flow</t>
  </si>
  <si>
    <t>Test password reset functionality</t>
  </si>
  <si>
    <t>1. Request password reset
2. Check reset email
3. Reset password
4. Login with new password</t>
  </si>
  <si>
    <t>1. Reset email sent
2. Password successfully reset
3. Can login with new password
4. Old password no longer works</t>
  </si>
  <si>
    <t>TD726-TD750 (Password data)</t>
  </si>
  <si>
    <t>Password Reset</t>
  </si>
  <si>
    <t>1. No password reset functionality
2. No reset email mechanism
3. Cannot reset password
4. Feature not implemented</t>
  </si>
  <si>
    <t>Skipped</t>
  </si>
  <si>
    <t>BUG013</t>
  </si>
  <si>
    <t>Password reset feature not implemented</t>
  </si>
  <si>
    <t>TEST SUMMARY REPORT</t>
  </si>
  <si>
    <t>Project Name</t>
  </si>
  <si>
    <t>&lt;Project Name&gt;</t>
  </si>
  <si>
    <t>Reviewer</t>
  </si>
  <si>
    <t>&lt;Reviewer&gt;</t>
  </si>
  <si>
    <t>Creator</t>
  </si>
  <si>
    <t>&lt;Creator&gt;</t>
  </si>
  <si>
    <t>Approver</t>
  </si>
  <si>
    <t>&lt;Approver&gt;</t>
  </si>
  <si>
    <t>Note</t>
  </si>
  <si>
    <t>Test Coverage:</t>
  </si>
  <si>
    <t>Successful Test Coverage:</t>
  </si>
  <si>
    <t>Date:</t>
  </si>
  <si>
    <t>&lt;yyyy/mm/dd&gt;</t>
  </si>
  <si>
    <t>Requirement ID</t>
  </si>
  <si>
    <t>Requirement name</t>
  </si>
  <si>
    <t>Tested</t>
  </si>
  <si>
    <t>Blocked</t>
  </si>
  <si>
    <t>Not Yet Tested</t>
  </si>
  <si>
    <t>Tested Coverage</t>
  </si>
  <si>
    <t>Test Case Status</t>
  </si>
  <si>
    <t>Expected = Actual</t>
  </si>
  <si>
    <t>Expected &lt;&gt; Actual</t>
  </si>
  <si>
    <t>=&gt; Bug ID</t>
  </si>
  <si>
    <t>Can not test</t>
  </si>
  <si>
    <t>Do not need to test now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</si>
</sst>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yy"/>
  </numFmts>
  <fonts count="18">
    <font>
      <sz val="10.0"/>
      <color rgb="FF000000"/>
      <name val="Arial"/>
      <scheme val="minor"/>
    </font>
    <font>
      <b/>
      <sz val="17.0"/>
      <color theme="1"/>
      <name val="Arial"/>
    </font>
    <font/>
    <font>
      <b/>
      <color theme="1"/>
      <name val="Arial"/>
    </font>
    <font>
      <color theme="1"/>
      <name val="Arial"/>
    </font>
    <font>
      <color rgb="FFFF0000"/>
      <name val="Arial"/>
    </font>
    <font>
      <b/>
      <sz val="12.0"/>
      <color rgb="FFFF0000"/>
      <name val="Arial"/>
    </font>
    <font>
      <b/>
      <color rgb="FFFF0000"/>
      <name val="Arial"/>
    </font>
    <font>
      <b/>
      <color rgb="FF000000"/>
      <name val="Arial"/>
    </font>
    <font>
      <sz val="11.0"/>
      <color rgb="FF000000"/>
      <name val="Calibri"/>
    </font>
    <font>
      <b/>
      <sz val="14.0"/>
      <color theme="1"/>
      <name val="Calibri"/>
    </font>
    <font>
      <b/>
      <sz val="11.0"/>
      <color rgb="FF974806"/>
      <name val="Calibri"/>
    </font>
    <font>
      <sz val="11.0"/>
      <color theme="1"/>
      <name val="Calibri"/>
    </font>
    <font>
      <b/>
      <sz val="11.0"/>
      <color rgb="FF953734"/>
      <name val="Calibri"/>
    </font>
    <font>
      <b/>
      <i/>
      <sz val="11.0"/>
      <color theme="1"/>
      <name val="Calibri"/>
    </font>
    <font>
      <b/>
      <sz val="11.0"/>
      <color rgb="FF3366FF"/>
      <name val="Calibri"/>
    </font>
    <font>
      <i/>
      <sz val="11.0"/>
      <color theme="1"/>
      <name val="Calibri"/>
    </font>
    <font>
      <b/>
      <color rgb="FFFF9900"/>
      <name val="Arial"/>
    </font>
  </fonts>
  <fills count="8">
    <fill>
      <patternFill patternType="none"/>
    </fill>
    <fill>
      <patternFill patternType="lightGray"/>
    </fill>
    <fill>
      <patternFill patternType="solid">
        <fgColor rgb="FF99CCFF"/>
        <bgColor rgb="FF99CCFF"/>
      </patternFill>
    </fill>
    <fill>
      <patternFill patternType="solid">
        <fgColor rgb="FFC0C0C0"/>
        <bgColor rgb="FFC0C0C0"/>
      </patternFill>
    </fill>
    <fill>
      <patternFill patternType="solid">
        <fgColor rgb="FFCCFFFF"/>
        <bgColor rgb="FFCCFFFF"/>
      </patternFill>
    </fill>
    <fill>
      <patternFill patternType="solid">
        <fgColor rgb="FFFFFF00"/>
        <bgColor rgb="FFFFFF00"/>
      </patternFill>
    </fill>
    <fill>
      <patternFill patternType="solid">
        <fgColor rgb="FFEFEFEF"/>
        <bgColor rgb="FFEFEFEF"/>
      </patternFill>
    </fill>
    <fill>
      <patternFill patternType="solid">
        <fgColor rgb="FFFFFFFF"/>
        <bgColor rgb="FFFFFFFF"/>
      </patternFill>
    </fill>
  </fills>
  <borders count="9">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0"/>
    </xf>
    <xf borderId="1" fillId="0" fontId="2" numFmtId="0" xfId="0" applyBorder="1" applyFont="1"/>
    <xf borderId="2" fillId="3" fontId="3" numFmtId="0" xfId="0" applyAlignment="1" applyBorder="1" applyFill="1" applyFont="1">
      <alignment horizontal="center" shrinkToFit="0" vertical="top" wrapText="1"/>
    </xf>
    <xf borderId="3" fillId="3" fontId="3" numFmtId="0" xfId="0" applyAlignment="1" applyBorder="1" applyFont="1">
      <alignment horizontal="center" shrinkToFit="0" vertical="top" wrapText="1"/>
    </xf>
    <xf borderId="3" fillId="3" fontId="3" numFmtId="0" xfId="0" applyAlignment="1" applyBorder="1" applyFont="1">
      <alignment horizontal="center" readingOrder="0" shrinkToFit="0" vertical="top" wrapText="1"/>
    </xf>
    <xf borderId="0" fillId="0" fontId="4" numFmtId="0" xfId="0" applyAlignment="1" applyFont="1">
      <alignment shrinkToFit="0" vertical="top" wrapText="1"/>
    </xf>
    <xf borderId="4" fillId="0" fontId="4" numFmtId="0" xfId="0" applyAlignment="1" applyBorder="1" applyFont="1">
      <alignment horizontal="right" shrinkToFit="0" vertical="center" wrapText="0"/>
    </xf>
    <xf borderId="2" fillId="0" fontId="4" numFmtId="0" xfId="0" applyAlignment="1" applyBorder="1" applyFont="1">
      <alignment shrinkToFit="0" wrapText="1"/>
    </xf>
    <xf borderId="5" fillId="0" fontId="4" numFmtId="0" xfId="0" applyAlignment="1" applyBorder="1" applyFont="1">
      <alignment horizontal="center" vertical="center"/>
    </xf>
    <xf borderId="5" fillId="0" fontId="5" numFmtId="2" xfId="0" applyAlignment="1" applyBorder="1" applyFont="1" applyNumberFormat="1">
      <alignment horizontal="center" shrinkToFit="0" vertical="center" wrapText="0"/>
    </xf>
    <xf borderId="0" fillId="0" fontId="4" numFmtId="0" xfId="0" applyAlignment="1" applyFont="1">
      <alignment vertical="center"/>
    </xf>
    <xf borderId="4" fillId="0" fontId="4" numFmtId="0" xfId="0" applyAlignment="1" applyBorder="1" applyFont="1">
      <alignment shrinkToFit="0" wrapText="1"/>
    </xf>
    <xf borderId="4" fillId="4" fontId="3" numFmtId="0" xfId="0" applyAlignment="1" applyBorder="1" applyFill="1" applyFont="1">
      <alignment shrinkToFit="0" vertical="center" wrapText="0"/>
    </xf>
    <xf borderId="4" fillId="4" fontId="6" numFmtId="0" xfId="0" applyAlignment="1" applyBorder="1" applyFont="1">
      <alignment horizontal="center" shrinkToFit="0" vertical="center" wrapText="0"/>
    </xf>
    <xf borderId="4" fillId="4" fontId="6" numFmtId="2" xfId="0" applyAlignment="1" applyBorder="1" applyFont="1" applyNumberFormat="1">
      <alignment horizontal="center" shrinkToFit="0" vertical="center" wrapText="0"/>
    </xf>
    <xf borderId="0" fillId="5" fontId="7" numFmtId="0" xfId="0" applyFill="1" applyFont="1"/>
    <xf borderId="0" fillId="0" fontId="4" numFmtId="0" xfId="0" applyFont="1"/>
    <xf borderId="2" fillId="0" fontId="3" numFmtId="0" xfId="0" applyBorder="1" applyFont="1"/>
    <xf borderId="2" fillId="0" fontId="8" numFmtId="0" xfId="0" applyAlignment="1" applyBorder="1" applyFont="1">
      <alignment horizontal="center"/>
    </xf>
    <xf borderId="2" fillId="0" fontId="9" numFmtId="0" xfId="0" applyBorder="1" applyFont="1"/>
    <xf borderId="2" fillId="0" fontId="8" numFmtId="0" xfId="0" applyBorder="1" applyFont="1"/>
    <xf borderId="2" fillId="3" fontId="3" numFmtId="0" xfId="0" applyAlignment="1" applyBorder="1" applyFont="1">
      <alignment horizontal="center" shrinkToFit="0" vertical="bottom" wrapText="0"/>
    </xf>
    <xf borderId="2" fillId="0" fontId="9" numFmtId="0" xfId="0" applyAlignment="1" applyBorder="1" applyFont="1">
      <alignment horizontal="right" shrinkToFit="0" vertical="bottom" wrapText="0"/>
    </xf>
    <xf borderId="2" fillId="0" fontId="9" numFmtId="0" xfId="0" applyAlignment="1" applyBorder="1" applyFont="1">
      <alignment horizontal="center" shrinkToFit="0" vertical="bottom" wrapText="0"/>
    </xf>
    <xf borderId="2" fillId="0" fontId="9" numFmtId="0" xfId="0" applyAlignment="1" applyBorder="1" applyFont="1">
      <alignment shrinkToFit="0" vertical="bottom" wrapText="0"/>
    </xf>
    <xf borderId="4" fillId="0" fontId="7" numFmtId="0" xfId="0" applyAlignment="1" applyBorder="1" applyFont="1">
      <alignment shrinkToFit="0" vertical="center" wrapText="0"/>
    </xf>
    <xf borderId="4" fillId="0" fontId="3" numFmtId="0" xfId="0" applyAlignment="1" applyBorder="1" applyFont="1">
      <alignment shrinkToFit="0" vertical="center" wrapText="0"/>
    </xf>
    <xf borderId="4" fillId="4" fontId="7" numFmtId="0" xfId="0" applyAlignment="1" applyBorder="1" applyFont="1">
      <alignment shrinkToFit="0" vertical="center" wrapText="0"/>
    </xf>
    <xf borderId="4" fillId="4" fontId="6" numFmtId="0" xfId="0" applyAlignment="1" applyBorder="1" applyFont="1">
      <alignment shrinkToFit="0" vertical="center" wrapText="0"/>
    </xf>
    <xf borderId="4" fillId="4" fontId="7" numFmtId="0" xfId="0" applyAlignment="1" applyBorder="1" applyFont="1">
      <alignment shrinkToFit="0" vertical="bottom" wrapText="0"/>
    </xf>
    <xf borderId="4" fillId="4" fontId="6" numFmtId="0" xfId="0" applyAlignment="1" applyBorder="1" applyFont="1">
      <alignment shrinkToFit="0" vertical="bottom" wrapText="0"/>
    </xf>
    <xf borderId="0" fillId="0" fontId="9" numFmtId="0" xfId="0" applyAlignment="1" applyFont="1">
      <alignment shrinkToFit="0" vertical="bottom" wrapText="0"/>
    </xf>
    <xf borderId="0" fillId="0" fontId="9" numFmtId="0" xfId="0" applyAlignment="1" applyFont="1">
      <alignment horizontal="center" shrinkToFit="0" vertical="bottom" wrapText="0"/>
    </xf>
    <xf borderId="0" fillId="0" fontId="9" numFmtId="0" xfId="0" applyAlignment="1" applyFont="1">
      <alignment shrinkToFit="0" vertical="bottom" wrapText="1"/>
    </xf>
    <xf borderId="1" fillId="2" fontId="3" numFmtId="0" xfId="0" applyAlignment="1" applyBorder="1" applyFont="1">
      <alignment horizontal="center" shrinkToFit="0" vertical="bottom" wrapText="0"/>
    </xf>
    <xf borderId="2" fillId="3" fontId="3" numFmtId="0" xfId="0" applyAlignment="1" applyBorder="1" applyFont="1">
      <alignment horizontal="center" shrinkToFit="0" vertical="center" wrapText="1"/>
    </xf>
    <xf borderId="2" fillId="3" fontId="3" numFmtId="0" xfId="0" applyAlignment="1" applyBorder="1" applyFont="1">
      <alignment horizontal="center" readingOrder="0" shrinkToFit="0" vertical="center" wrapText="1"/>
    </xf>
    <xf borderId="4" fillId="3" fontId="3" numFmtId="0" xfId="0" applyAlignment="1" applyBorder="1" applyFont="1">
      <alignment horizontal="center" shrinkToFit="0" vertical="center" wrapText="1"/>
    </xf>
    <xf borderId="0" fillId="0" fontId="4" numFmtId="0" xfId="0" applyAlignment="1" applyFont="1">
      <alignment horizontal="center" shrinkToFit="0" vertical="center" wrapText="1"/>
    </xf>
    <xf borderId="2" fillId="0" fontId="9" numFmtId="0" xfId="0" applyAlignment="1" applyBorder="1" applyFont="1">
      <alignment horizontal="right" readingOrder="0" shrinkToFit="0" vertical="top" wrapText="0"/>
    </xf>
    <xf borderId="2" fillId="0" fontId="9" numFmtId="0" xfId="0" applyAlignment="1" applyBorder="1" applyFont="1">
      <alignment horizontal="center" readingOrder="0" shrinkToFit="0" vertical="top" wrapText="0"/>
    </xf>
    <xf borderId="2" fillId="0" fontId="9" numFmtId="0" xfId="0" applyAlignment="1" applyBorder="1" applyFont="1">
      <alignment readingOrder="0" shrinkToFit="0" vertical="top" wrapText="1"/>
    </xf>
    <xf borderId="2" fillId="0" fontId="9" numFmtId="0" xfId="0" applyAlignment="1" applyBorder="1" applyFont="1">
      <alignment readingOrder="0" vertical="top"/>
    </xf>
    <xf borderId="2" fillId="6" fontId="9" numFmtId="0" xfId="0" applyAlignment="1" applyBorder="1" applyFill="1" applyFont="1">
      <alignment readingOrder="0" vertical="top"/>
    </xf>
    <xf borderId="2" fillId="6" fontId="9" numFmtId="0" xfId="0" applyAlignment="1" applyBorder="1" applyFont="1">
      <alignment readingOrder="0" shrinkToFit="0" vertical="top" wrapText="0"/>
    </xf>
    <xf borderId="5" fillId="6" fontId="4" numFmtId="164" xfId="0" applyAlignment="1" applyBorder="1" applyFont="1" applyNumberFormat="1">
      <alignment horizontal="center" shrinkToFit="0" vertical="top" wrapText="0"/>
    </xf>
    <xf borderId="0" fillId="0" fontId="4" numFmtId="0" xfId="0" applyAlignment="1" applyFont="1">
      <alignment vertical="top"/>
    </xf>
    <xf borderId="2" fillId="6" fontId="9" numFmtId="0" xfId="0" applyAlignment="1" applyBorder="1" applyFont="1">
      <alignment vertical="top"/>
    </xf>
    <xf borderId="2" fillId="6" fontId="9" numFmtId="0" xfId="0" applyAlignment="1" applyBorder="1" applyFont="1">
      <alignment readingOrder="0" shrinkToFit="0" vertical="top" wrapText="1"/>
    </xf>
    <xf borderId="4" fillId="0" fontId="9" numFmtId="0" xfId="0" applyAlignment="1" applyBorder="1" applyFont="1">
      <alignment horizontal="center" readingOrder="0" shrinkToFit="0" vertical="top" wrapText="0"/>
    </xf>
    <xf borderId="4" fillId="0" fontId="9" numFmtId="0" xfId="0" applyAlignment="1" applyBorder="1" applyFont="1">
      <alignment readingOrder="0" shrinkToFit="0" vertical="top" wrapText="1"/>
    </xf>
    <xf borderId="4" fillId="0" fontId="9" numFmtId="0" xfId="0" applyAlignment="1" applyBorder="1" applyFont="1">
      <alignment readingOrder="0" vertical="top"/>
    </xf>
    <xf borderId="4" fillId="6" fontId="9" numFmtId="0" xfId="0" applyAlignment="1" applyBorder="1" applyFont="1">
      <alignment readingOrder="0" vertical="top"/>
    </xf>
    <xf borderId="4" fillId="6" fontId="9" numFmtId="0" xfId="0" applyAlignment="1" applyBorder="1" applyFont="1">
      <alignment vertical="top"/>
    </xf>
    <xf borderId="0" fillId="0" fontId="4" numFmtId="0" xfId="0" applyAlignment="1" applyFont="1">
      <alignment readingOrder="0" vertical="top"/>
    </xf>
    <xf borderId="4" fillId="4" fontId="7" numFmtId="0" xfId="0" applyAlignment="1" applyBorder="1" applyFont="1">
      <alignment shrinkToFit="0" vertical="top" wrapText="0"/>
    </xf>
    <xf borderId="4" fillId="4" fontId="7" numFmtId="0" xfId="0" applyAlignment="1" applyBorder="1" applyFont="1">
      <alignment horizontal="center" shrinkToFit="0" vertical="top" wrapText="0"/>
    </xf>
    <xf borderId="0" fillId="0" fontId="4" numFmtId="0" xfId="0" applyAlignment="1" applyFont="1">
      <alignment horizontal="center"/>
    </xf>
    <xf borderId="0" fillId="0" fontId="4" numFmtId="0" xfId="0" applyAlignment="1" applyFont="1">
      <alignment shrinkToFit="0" wrapText="1"/>
    </xf>
    <xf borderId="0" fillId="0" fontId="9" numFmtId="0" xfId="0" applyAlignment="1" applyFont="1">
      <alignment vertical="bottom"/>
    </xf>
    <xf borderId="0" fillId="0" fontId="4" numFmtId="0" xfId="0" applyAlignment="1" applyFont="1">
      <alignment readingOrder="0" vertical="bottom"/>
    </xf>
    <xf borderId="6" fillId="0" fontId="10" numFmtId="0" xfId="0" applyAlignment="1" applyBorder="1" applyFont="1">
      <alignment horizontal="center" vertical="bottom"/>
    </xf>
    <xf borderId="7" fillId="0" fontId="2" numFmtId="0" xfId="0" applyBorder="1" applyFont="1"/>
    <xf borderId="3" fillId="0" fontId="2" numFmtId="0" xfId="0" applyBorder="1" applyFont="1"/>
    <xf borderId="8" fillId="0" fontId="11" numFmtId="0" xfId="0" applyAlignment="1" applyBorder="1" applyFont="1">
      <alignment horizontal="right" vertical="bottom"/>
    </xf>
    <xf borderId="5" fillId="0" fontId="2" numFmtId="0" xfId="0" applyBorder="1" applyFont="1"/>
    <xf borderId="1" fillId="0" fontId="12" numFmtId="0" xfId="0" applyAlignment="1" applyBorder="1" applyFont="1">
      <alignment horizontal="center" vertical="bottom"/>
    </xf>
    <xf borderId="1" fillId="0" fontId="11" numFmtId="0" xfId="0" applyAlignment="1" applyBorder="1" applyFont="1">
      <alignment horizontal="right" vertical="bottom"/>
    </xf>
    <xf borderId="8" fillId="0" fontId="13" numFmtId="0" xfId="0" applyAlignment="1" applyBorder="1" applyFont="1">
      <alignment horizontal="right"/>
    </xf>
    <xf borderId="1" fillId="0" fontId="4" numFmtId="0" xfId="0" applyBorder="1" applyFont="1"/>
    <xf borderId="0" fillId="0" fontId="12" numFmtId="0" xfId="0" applyAlignment="1" applyFont="1">
      <alignment vertical="bottom"/>
    </xf>
    <xf borderId="0" fillId="0" fontId="14" numFmtId="0" xfId="0" applyAlignment="1" applyFont="1">
      <alignment horizontal="right" vertical="bottom"/>
    </xf>
    <xf borderId="0" fillId="0" fontId="15" numFmtId="9" xfId="0" applyAlignment="1" applyFont="1" applyNumberFormat="1">
      <alignment horizontal="center" vertical="bottom"/>
    </xf>
    <xf borderId="0" fillId="0" fontId="14" numFmtId="14" xfId="0" applyAlignment="1" applyFont="1" applyNumberFormat="1">
      <alignment horizontal="right" vertical="bottom"/>
    </xf>
    <xf borderId="0" fillId="0" fontId="14" numFmtId="0" xfId="0" applyAlignment="1" applyFont="1">
      <alignment horizontal="center" vertical="bottom"/>
    </xf>
    <xf borderId="0" fillId="0" fontId="16" numFmtId="0" xfId="0" applyAlignment="1" applyFont="1">
      <alignment horizontal="center" vertical="bottom"/>
    </xf>
    <xf borderId="0" fillId="0" fontId="12" numFmtId="14" xfId="0" applyAlignment="1" applyFont="1" applyNumberFormat="1">
      <alignment vertical="bottom"/>
    </xf>
    <xf borderId="2" fillId="7" fontId="12" numFmtId="0" xfId="0" applyAlignment="1" applyBorder="1" applyFill="1" applyFont="1">
      <alignment horizontal="center" vertical="bottom"/>
    </xf>
    <xf borderId="2" fillId="7" fontId="12" numFmtId="0" xfId="0" applyAlignment="1" applyBorder="1" applyFont="1">
      <alignment vertical="bottom"/>
    </xf>
    <xf borderId="5" fillId="0" fontId="17" numFmtId="0" xfId="0" applyAlignment="1" applyBorder="1" applyFont="1">
      <alignment horizontal="center" shrinkToFit="0" vertical="bottom" wrapText="0"/>
    </xf>
    <xf borderId="2" fillId="7" fontId="12" numFmtId="9" xfId="0" applyAlignment="1" applyBorder="1" applyFont="1" applyNumberFormat="1">
      <alignment horizontal="center" vertical="bottom"/>
    </xf>
    <xf borderId="2" fillId="6" fontId="12" numFmtId="0" xfId="0" applyAlignment="1" applyBorder="1" applyFont="1">
      <alignment horizontal="center" vertical="bottom"/>
    </xf>
    <xf borderId="2" fillId="6" fontId="12" numFmtId="0" xfId="0" applyAlignment="1" applyBorder="1" applyFont="1">
      <alignment vertical="bottom"/>
    </xf>
    <xf borderId="5" fillId="6" fontId="17" numFmtId="0" xfId="0" applyAlignment="1" applyBorder="1" applyFont="1">
      <alignment horizontal="center" shrinkToFit="0" vertical="bottom" wrapText="0"/>
    </xf>
    <xf borderId="2" fillId="6" fontId="12" numFmtId="9" xfId="0" applyAlignment="1" applyBorder="1" applyFont="1" applyNumberFormat="1">
      <alignment horizontal="center" vertical="bottom"/>
    </xf>
    <xf borderId="4" fillId="4" fontId="6" numFmtId="9" xfId="0" applyAlignment="1" applyBorder="1" applyFont="1" applyNumberFormat="1">
      <alignment horizontal="center" shrinkToFit="0" vertical="center" wrapText="0"/>
    </xf>
    <xf borderId="0" fillId="0" fontId="4" numFmtId="0" xfId="0" applyAlignment="1" applyFont="1">
      <alignment shrinkToFit="0" vertical="bottom" wrapText="0"/>
    </xf>
    <xf borderId="4" fillId="0" fontId="4" numFmtId="0" xfId="0" applyAlignment="1" applyBorder="1" applyFont="1">
      <alignment shrinkToFit="0" vertical="bottom" wrapText="0"/>
    </xf>
    <xf quotePrefix="1"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50.25"/>
    <col customWidth="1" min="3" max="3" width="6.88"/>
    <col customWidth="1" min="4" max="6" width="12.63"/>
  </cols>
  <sheetData>
    <row r="1" ht="15.75" customHeight="1">
      <c r="A1" s="1" t="s">
        <v>0</v>
      </c>
      <c r="B1" s="2"/>
      <c r="C1" s="2"/>
      <c r="D1" s="2"/>
      <c r="E1" s="2"/>
      <c r="F1" s="2"/>
      <c r="G1" s="2"/>
    </row>
    <row r="2" ht="15.75" customHeight="1">
      <c r="A2" s="3" t="s">
        <v>1</v>
      </c>
      <c r="B2" s="4" t="s">
        <v>2</v>
      </c>
      <c r="C2" s="4" t="s">
        <v>3</v>
      </c>
      <c r="D2" s="5">
        <v>2.2127223E7</v>
      </c>
      <c r="E2" s="4" t="s">
        <v>4</v>
      </c>
      <c r="F2" s="4" t="s">
        <v>5</v>
      </c>
      <c r="G2" s="4" t="s">
        <v>6</v>
      </c>
      <c r="H2" s="6"/>
      <c r="I2" s="6"/>
      <c r="J2" s="6"/>
      <c r="K2" s="6"/>
      <c r="L2" s="6"/>
      <c r="M2" s="6"/>
      <c r="N2" s="6"/>
      <c r="O2" s="6"/>
      <c r="P2" s="6"/>
      <c r="Q2" s="6"/>
      <c r="R2" s="6"/>
      <c r="S2" s="6"/>
      <c r="T2" s="6"/>
      <c r="U2" s="6"/>
      <c r="V2" s="6"/>
      <c r="W2" s="6"/>
    </row>
    <row r="3" ht="15.75" customHeight="1">
      <c r="A3" s="7">
        <v>1.0</v>
      </c>
      <c r="B3" s="8" t="s">
        <v>7</v>
      </c>
      <c r="C3" s="9">
        <v>4.0</v>
      </c>
      <c r="D3" s="10">
        <f>min($C3,countif('Test Cases'!$K:$K,D$2)/if($C$9&gt;=4,2,if($C$9=3,3,if($C$9=2,4,if($C$9=1,5,5)))))</f>
        <v>4</v>
      </c>
      <c r="E3" s="10">
        <f>min($C3,countif('Test Cases'!$K:$K,E$2)/if($C$9&gt;=4,2,if($C$9=3,3,if($C$9=2,4,if($C$9=1,5,5)))))</f>
        <v>0</v>
      </c>
      <c r="F3" s="10">
        <f>min($C3,countif('Test Cases'!$K:$K,F$2)/if($C$9&gt;=4,2,if($C$9=3,3,if($C$9=2,4,if($C$9=1,5,5)))))</f>
        <v>0</v>
      </c>
      <c r="G3" s="10">
        <f>min($C3,countif('Test Cases'!$K:$K,G$2)/if($C$9&gt;=4,2,if($C$9=3,3,if($C$9=2,4,if($C$9=1,5,5)))))</f>
        <v>0</v>
      </c>
      <c r="H3" s="11"/>
      <c r="I3" s="11"/>
      <c r="J3" s="11"/>
      <c r="K3" s="11"/>
      <c r="L3" s="11"/>
      <c r="M3" s="11"/>
      <c r="N3" s="11"/>
      <c r="O3" s="11"/>
      <c r="P3" s="11"/>
      <c r="Q3" s="11"/>
      <c r="R3" s="11"/>
      <c r="S3" s="11"/>
      <c r="T3" s="11"/>
      <c r="U3" s="11"/>
      <c r="V3" s="11"/>
      <c r="W3" s="11"/>
    </row>
    <row r="4" ht="15.75" customHeight="1">
      <c r="A4" s="7">
        <v>2.0</v>
      </c>
      <c r="B4" s="12" t="s">
        <v>8</v>
      </c>
      <c r="C4" s="9">
        <v>2.5</v>
      </c>
      <c r="D4" s="10">
        <f>min($C4,(COUNTIF('Requirement List'!$F:$F,"&lt;&gt;0")-2)*0.5)</f>
        <v>-0.5</v>
      </c>
      <c r="E4" s="10">
        <f>min($C4,(COUNTIF('Requirement List'!$F:$F,"&lt;&gt;0")-2)*0.5)</f>
        <v>-0.5</v>
      </c>
      <c r="F4" s="10">
        <f>min($C4,(COUNTIF('Requirement List'!$F:$F,"&lt;&gt;0")-2)*0.5)</f>
        <v>-0.5</v>
      </c>
      <c r="G4" s="10">
        <f>min($C4,(COUNTIF('Requirement List'!$F:$F,"&lt;&gt;0")-2)*0.5)</f>
        <v>-0.5</v>
      </c>
      <c r="H4" s="11"/>
      <c r="I4" s="11"/>
      <c r="J4" s="11"/>
      <c r="K4" s="11"/>
      <c r="L4" s="11"/>
      <c r="M4" s="11"/>
      <c r="N4" s="11"/>
      <c r="O4" s="11"/>
      <c r="P4" s="11"/>
      <c r="Q4" s="11"/>
      <c r="R4" s="11"/>
      <c r="S4" s="11"/>
      <c r="T4" s="11"/>
      <c r="U4" s="11"/>
      <c r="V4" s="11"/>
      <c r="W4" s="11"/>
    </row>
    <row r="5" ht="15.75" customHeight="1">
      <c r="A5" s="7">
        <v>3.0</v>
      </c>
      <c r="B5" s="12" t="s">
        <v>9</v>
      </c>
      <c r="C5" s="9">
        <v>2.5</v>
      </c>
      <c r="D5" s="10">
        <f>min($C5,(COUNTIF('Test Types'!$E:$E,"&lt;&gt;0")-2)*0.5)</f>
        <v>-0.5</v>
      </c>
      <c r="E5" s="10">
        <f>min($C5,(COUNTIF('Test Types'!$E:$E,"&lt;&gt;0")-2)*0.5)</f>
        <v>-0.5</v>
      </c>
      <c r="F5" s="10">
        <f>min($C5,(COUNTIF('Test Types'!$E:$E,"&lt;&gt;0")-2)*0.5)</f>
        <v>-0.5</v>
      </c>
      <c r="G5" s="10">
        <f>min($C5,(COUNTIF('Test Types'!$E:$E,"&lt;&gt;0")-2)*0.5)</f>
        <v>-0.5</v>
      </c>
      <c r="H5" s="11"/>
      <c r="I5" s="11"/>
      <c r="J5" s="11"/>
      <c r="K5" s="11"/>
      <c r="L5" s="11"/>
      <c r="M5" s="11"/>
      <c r="N5" s="11"/>
      <c r="O5" s="11"/>
      <c r="P5" s="11"/>
      <c r="Q5" s="11"/>
      <c r="R5" s="11"/>
      <c r="S5" s="11"/>
      <c r="T5" s="11"/>
      <c r="U5" s="11"/>
      <c r="V5" s="11"/>
      <c r="W5" s="11"/>
    </row>
    <row r="6" ht="15.75" customHeight="1">
      <c r="A6" s="7">
        <v>4.0</v>
      </c>
      <c r="B6" s="12" t="s">
        <v>10</v>
      </c>
      <c r="C6" s="9">
        <v>1.0</v>
      </c>
      <c r="D6" s="10">
        <v>1.0</v>
      </c>
      <c r="E6" s="10">
        <v>1.0</v>
      </c>
      <c r="F6" s="10">
        <v>1.0</v>
      </c>
      <c r="G6" s="10">
        <v>1.0</v>
      </c>
    </row>
    <row r="7" ht="15.75" customHeight="1">
      <c r="A7" s="13"/>
      <c r="B7" s="13" t="s">
        <v>11</v>
      </c>
      <c r="C7" s="14">
        <f t="shared" ref="C7:G7" si="1">SUM(C3:C6)</f>
        <v>10</v>
      </c>
      <c r="D7" s="15">
        <f t="shared" si="1"/>
        <v>4</v>
      </c>
      <c r="E7" s="15">
        <f t="shared" si="1"/>
        <v>0</v>
      </c>
      <c r="F7" s="15">
        <f t="shared" si="1"/>
        <v>0</v>
      </c>
      <c r="G7" s="15">
        <f t="shared" si="1"/>
        <v>0</v>
      </c>
    </row>
    <row r="8" ht="15.75" customHeight="1"/>
    <row r="9" ht="15.75" customHeight="1">
      <c r="B9" s="16" t="s">
        <v>12</v>
      </c>
      <c r="C9" s="16">
        <v>4.0</v>
      </c>
    </row>
    <row r="10" ht="15.75" customHeight="1">
      <c r="B10" s="17" t="s">
        <v>13</v>
      </c>
    </row>
    <row r="11" ht="15.75" customHeight="1">
      <c r="B11" s="18" t="s">
        <v>14</v>
      </c>
      <c r="C11" s="19" t="s">
        <v>15</v>
      </c>
    </row>
    <row r="12" ht="15.75" customHeight="1">
      <c r="B12" s="20" t="s">
        <v>16</v>
      </c>
      <c r="C12" s="21">
        <v>2.0</v>
      </c>
    </row>
    <row r="13" ht="15.75" customHeight="1">
      <c r="B13" s="20" t="s">
        <v>17</v>
      </c>
      <c r="C13" s="21">
        <v>3.0</v>
      </c>
    </row>
    <row r="14" ht="15.75" customHeight="1">
      <c r="B14" s="20" t="s">
        <v>18</v>
      </c>
      <c r="C14" s="21">
        <v>4.0</v>
      </c>
    </row>
    <row r="15" ht="15.75" customHeight="1">
      <c r="B15" s="20" t="s">
        <v>19</v>
      </c>
      <c r="C15" s="21">
        <v>5.0</v>
      </c>
    </row>
    <row r="16" ht="15.75" customHeight="1"/>
    <row r="17" ht="15.75" customHeight="1">
      <c r="B17" s="17"/>
    </row>
    <row r="18" ht="15.75" customHeight="1">
      <c r="B18" s="17"/>
      <c r="C18" s="17"/>
    </row>
    <row r="19" ht="15.75" customHeight="1">
      <c r="B19" s="17"/>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2" max="2" width="15.63"/>
    <col customWidth="1" min="3" max="3" width="19.13"/>
    <col customWidth="1" min="4" max="4" width="12.63"/>
    <col customWidth="1" hidden="1" min="5" max="5" width="12.63"/>
    <col customWidth="1" min="6" max="6" width="12.63"/>
  </cols>
  <sheetData>
    <row r="1" ht="15.75" customHeight="1">
      <c r="A1" s="22" t="s">
        <v>20</v>
      </c>
      <c r="B1" s="22" t="s">
        <v>21</v>
      </c>
      <c r="C1" s="22" t="s">
        <v>22</v>
      </c>
      <c r="D1" s="22" t="s">
        <v>23</v>
      </c>
      <c r="E1" s="22" t="s">
        <v>24</v>
      </c>
      <c r="F1" s="22" t="s">
        <v>25</v>
      </c>
    </row>
    <row r="2" ht="15.75" customHeight="1">
      <c r="A2" s="23">
        <v>1.0</v>
      </c>
      <c r="B2" s="24" t="s">
        <v>26</v>
      </c>
      <c r="C2" s="25"/>
      <c r="D2" s="25"/>
      <c r="E2" s="25"/>
      <c r="F2" s="25">
        <f>countif('Test Cases'!D:D,C2)</f>
        <v>0</v>
      </c>
    </row>
    <row r="3" ht="15.75" customHeight="1">
      <c r="A3" s="26"/>
      <c r="B3" s="27"/>
      <c r="C3" s="27"/>
      <c r="D3" s="27"/>
      <c r="E3" s="27"/>
      <c r="F3" s="25">
        <f>countif('Test Cases'!D:D,C3)</f>
        <v>0</v>
      </c>
      <c r="G3" s="11"/>
      <c r="H3" s="11"/>
      <c r="I3" s="11"/>
      <c r="J3" s="11"/>
      <c r="K3" s="11"/>
      <c r="L3" s="11"/>
      <c r="M3" s="11"/>
      <c r="N3" s="11"/>
      <c r="O3" s="11"/>
      <c r="P3" s="11"/>
      <c r="Q3" s="11"/>
      <c r="R3" s="11"/>
      <c r="S3" s="11"/>
      <c r="T3" s="11"/>
      <c r="U3" s="11"/>
      <c r="V3" s="11"/>
      <c r="W3" s="11"/>
      <c r="X3" s="11"/>
      <c r="Y3" s="11"/>
      <c r="Z3" s="11"/>
    </row>
    <row r="4" ht="15.75" customHeight="1">
      <c r="A4" s="28" t="s">
        <v>27</v>
      </c>
      <c r="B4" s="13"/>
      <c r="C4" s="13"/>
      <c r="D4" s="13" t="s">
        <v>11</v>
      </c>
      <c r="E4" s="13" t="s">
        <v>11</v>
      </c>
      <c r="F4" s="29">
        <f>SUM(F2:F3)</f>
        <v>0</v>
      </c>
      <c r="G4" s="11"/>
      <c r="H4" s="11"/>
      <c r="I4" s="11"/>
      <c r="J4" s="11"/>
      <c r="K4" s="11"/>
      <c r="L4" s="11"/>
      <c r="M4" s="11"/>
      <c r="N4" s="11"/>
      <c r="O4" s="11"/>
      <c r="P4" s="11"/>
      <c r="Q4" s="11"/>
      <c r="R4" s="11"/>
      <c r="S4" s="11"/>
      <c r="T4" s="11"/>
      <c r="U4" s="11"/>
      <c r="V4" s="11"/>
      <c r="W4" s="11"/>
      <c r="X4" s="11"/>
      <c r="Y4" s="11"/>
      <c r="Z4" s="11"/>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2" max="2" width="12.63"/>
    <col customWidth="1" min="3" max="3" width="17.88"/>
    <col customWidth="1" min="4" max="6" width="12.63"/>
  </cols>
  <sheetData>
    <row r="1" ht="15.75" customHeight="1">
      <c r="A1" s="22" t="s">
        <v>20</v>
      </c>
      <c r="B1" s="22" t="s">
        <v>21</v>
      </c>
      <c r="C1" s="22" t="s">
        <v>28</v>
      </c>
      <c r="D1" s="22" t="s">
        <v>23</v>
      </c>
      <c r="E1" s="22" t="s">
        <v>25</v>
      </c>
    </row>
    <row r="2" ht="15.75" customHeight="1">
      <c r="A2" s="23">
        <v>1.0</v>
      </c>
      <c r="B2" s="24"/>
      <c r="C2" s="25"/>
      <c r="D2" s="25"/>
      <c r="E2" s="25">
        <f>countif('Test Cases'!C:C,B2)</f>
        <v>0</v>
      </c>
    </row>
    <row r="3" ht="15.75" customHeight="1">
      <c r="A3" s="30" t="s">
        <v>27</v>
      </c>
      <c r="B3" s="30"/>
      <c r="C3" s="30"/>
      <c r="D3" s="13" t="s">
        <v>11</v>
      </c>
      <c r="E3" s="31">
        <f>SUM(E2)</f>
        <v>0</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75"/>
    <col customWidth="1" min="2" max="2" width="16.5"/>
    <col customWidth="1" min="3" max="3" width="37.13"/>
    <col customWidth="1" min="4" max="4" width="45.13"/>
    <col customWidth="1" min="5" max="5" width="19.75"/>
    <col customWidth="1" min="6" max="6" width="39.25"/>
    <col customWidth="1" min="7" max="7" width="33.13"/>
    <col customWidth="1" min="8" max="8" width="30.88"/>
    <col customWidth="1" min="9" max="9" width="21.88"/>
    <col customWidth="1" min="12" max="12" width="32.88"/>
    <col customWidth="1" min="17" max="17" width="47.25"/>
  </cols>
  <sheetData>
    <row r="1" ht="15.75" customHeight="1">
      <c r="A1" s="32"/>
      <c r="B1" s="33"/>
      <c r="C1" s="33"/>
      <c r="D1" s="33"/>
      <c r="E1" s="32"/>
      <c r="F1" s="34"/>
      <c r="G1" s="34"/>
      <c r="H1" s="34"/>
      <c r="I1" s="34"/>
      <c r="J1" s="32"/>
      <c r="K1" s="32"/>
      <c r="L1" s="35" t="s">
        <v>29</v>
      </c>
      <c r="M1" s="2"/>
      <c r="N1" s="2"/>
      <c r="O1" s="2"/>
      <c r="P1" s="2"/>
      <c r="Q1" s="2"/>
    </row>
    <row r="2" ht="15.75" customHeight="1">
      <c r="A2" s="36" t="s">
        <v>20</v>
      </c>
      <c r="B2" s="37" t="s">
        <v>30</v>
      </c>
      <c r="C2" s="37" t="s">
        <v>31</v>
      </c>
      <c r="D2" s="37" t="s">
        <v>32</v>
      </c>
      <c r="E2" s="37" t="s">
        <v>33</v>
      </c>
      <c r="F2" s="36" t="s">
        <v>34</v>
      </c>
      <c r="G2" s="37" t="s">
        <v>35</v>
      </c>
      <c r="H2" s="36" t="s">
        <v>36</v>
      </c>
      <c r="I2" s="37" t="s">
        <v>37</v>
      </c>
      <c r="J2" s="37" t="s">
        <v>38</v>
      </c>
      <c r="K2" s="36" t="s">
        <v>39</v>
      </c>
      <c r="L2" s="38" t="s">
        <v>40</v>
      </c>
      <c r="M2" s="38" t="s">
        <v>41</v>
      </c>
      <c r="N2" s="38" t="s">
        <v>42</v>
      </c>
      <c r="O2" s="38" t="s">
        <v>43</v>
      </c>
      <c r="P2" s="38" t="s">
        <v>44</v>
      </c>
      <c r="Q2" s="38" t="s">
        <v>24</v>
      </c>
      <c r="R2" s="39"/>
      <c r="S2" s="39"/>
      <c r="T2" s="39"/>
      <c r="U2" s="39"/>
      <c r="V2" s="39"/>
      <c r="W2" s="39"/>
      <c r="X2" s="39"/>
    </row>
    <row r="3" ht="15.75" customHeight="1">
      <c r="A3" s="40">
        <v>1.0</v>
      </c>
      <c r="B3" s="41" t="s">
        <v>45</v>
      </c>
      <c r="C3" s="41" t="s">
        <v>46</v>
      </c>
      <c r="D3" s="41" t="s">
        <v>47</v>
      </c>
      <c r="E3" s="42" t="s">
        <v>48</v>
      </c>
      <c r="F3" s="42" t="s">
        <v>49</v>
      </c>
      <c r="G3" s="42" t="s">
        <v>50</v>
      </c>
      <c r="H3" s="42" t="s">
        <v>51</v>
      </c>
      <c r="I3" s="42" t="s">
        <v>52</v>
      </c>
      <c r="J3" s="43" t="s">
        <v>53</v>
      </c>
      <c r="K3" s="43">
        <v>2.2127223E7</v>
      </c>
      <c r="L3" s="44" t="s">
        <v>54</v>
      </c>
      <c r="M3" s="45" t="s">
        <v>55</v>
      </c>
      <c r="N3" s="45" t="s">
        <v>56</v>
      </c>
      <c r="O3" s="44">
        <v>2.2127223E7</v>
      </c>
      <c r="P3" s="46"/>
      <c r="Q3" s="44" t="s">
        <v>57</v>
      </c>
      <c r="R3" s="47"/>
      <c r="S3" s="47"/>
      <c r="T3" s="47"/>
      <c r="U3" s="47"/>
      <c r="V3" s="47"/>
      <c r="W3" s="47"/>
      <c r="X3" s="47"/>
    </row>
    <row r="4" ht="15.75" customHeight="1">
      <c r="A4" s="40">
        <v>2.0</v>
      </c>
      <c r="B4" s="41" t="s">
        <v>58</v>
      </c>
      <c r="C4" s="41" t="s">
        <v>59</v>
      </c>
      <c r="D4" s="41" t="s">
        <v>60</v>
      </c>
      <c r="E4" s="42" t="s">
        <v>61</v>
      </c>
      <c r="F4" s="42" t="s">
        <v>62</v>
      </c>
      <c r="G4" s="42" t="s">
        <v>63</v>
      </c>
      <c r="H4" s="42" t="s">
        <v>64</v>
      </c>
      <c r="I4" s="42" t="s">
        <v>52</v>
      </c>
      <c r="J4" s="43" t="s">
        <v>53</v>
      </c>
      <c r="K4" s="43">
        <v>2.2127223E7</v>
      </c>
      <c r="L4" s="44" t="s">
        <v>65</v>
      </c>
      <c r="M4" s="44" t="s">
        <v>55</v>
      </c>
      <c r="N4" s="48"/>
      <c r="O4" s="44">
        <v>2.2127223E7</v>
      </c>
      <c r="P4" s="46"/>
      <c r="Q4" s="48"/>
      <c r="R4" s="47"/>
      <c r="S4" s="47"/>
      <c r="T4" s="47"/>
      <c r="U4" s="47"/>
      <c r="V4" s="47"/>
      <c r="W4" s="47"/>
      <c r="X4" s="47"/>
    </row>
    <row r="5" ht="15.75" customHeight="1">
      <c r="A5" s="40">
        <v>3.0</v>
      </c>
      <c r="B5" s="41" t="s">
        <v>66</v>
      </c>
      <c r="C5" s="41" t="s">
        <v>67</v>
      </c>
      <c r="D5" s="41" t="s">
        <v>68</v>
      </c>
      <c r="E5" s="42" t="s">
        <v>48</v>
      </c>
      <c r="F5" s="42" t="s">
        <v>69</v>
      </c>
      <c r="G5" s="42" t="s">
        <v>70</v>
      </c>
      <c r="H5" s="42" t="s">
        <v>71</v>
      </c>
      <c r="I5" s="42" t="s">
        <v>52</v>
      </c>
      <c r="J5" s="43" t="s">
        <v>72</v>
      </c>
      <c r="K5" s="43">
        <v>2.2127223E7</v>
      </c>
      <c r="L5" s="49" t="s">
        <v>73</v>
      </c>
      <c r="M5" s="44" t="s">
        <v>55</v>
      </c>
      <c r="N5" s="49" t="s">
        <v>74</v>
      </c>
      <c r="O5" s="44">
        <v>2.2127223E7</v>
      </c>
      <c r="P5" s="46"/>
      <c r="Q5" s="44" t="s">
        <v>75</v>
      </c>
      <c r="R5" s="47"/>
      <c r="S5" s="47"/>
      <c r="T5" s="47"/>
      <c r="U5" s="47"/>
      <c r="V5" s="47"/>
      <c r="W5" s="47"/>
      <c r="X5" s="47"/>
    </row>
    <row r="6" ht="15.75" customHeight="1">
      <c r="A6" s="40">
        <v>4.0</v>
      </c>
      <c r="B6" s="41" t="s">
        <v>76</v>
      </c>
      <c r="C6" s="41" t="s">
        <v>77</v>
      </c>
      <c r="D6" s="41" t="s">
        <v>78</v>
      </c>
      <c r="E6" s="42" t="s">
        <v>48</v>
      </c>
      <c r="F6" s="42" t="s">
        <v>79</v>
      </c>
      <c r="G6" s="42" t="s">
        <v>80</v>
      </c>
      <c r="H6" s="42" t="s">
        <v>81</v>
      </c>
      <c r="I6" s="42" t="s">
        <v>52</v>
      </c>
      <c r="J6" s="43" t="s">
        <v>72</v>
      </c>
      <c r="K6" s="43">
        <v>2.2127223E7</v>
      </c>
      <c r="L6" s="44" t="s">
        <v>80</v>
      </c>
      <c r="M6" s="44" t="s">
        <v>55</v>
      </c>
      <c r="N6" s="48"/>
      <c r="O6" s="44">
        <v>2.2127223E7</v>
      </c>
      <c r="P6" s="46"/>
      <c r="Q6" s="48"/>
      <c r="R6" s="47"/>
      <c r="S6" s="47"/>
      <c r="T6" s="47"/>
      <c r="U6" s="47"/>
      <c r="V6" s="47"/>
      <c r="W6" s="47"/>
      <c r="X6" s="47"/>
    </row>
    <row r="7" ht="15.75" customHeight="1">
      <c r="A7" s="40">
        <v>5.0</v>
      </c>
      <c r="B7" s="50" t="s">
        <v>82</v>
      </c>
      <c r="C7" s="50" t="s">
        <v>83</v>
      </c>
      <c r="D7" s="50" t="s">
        <v>84</v>
      </c>
      <c r="E7" s="51" t="s">
        <v>48</v>
      </c>
      <c r="F7" s="51" t="s">
        <v>85</v>
      </c>
      <c r="G7" s="51" t="s">
        <v>86</v>
      </c>
      <c r="H7" s="51" t="s">
        <v>87</v>
      </c>
      <c r="I7" s="51" t="s">
        <v>52</v>
      </c>
      <c r="J7" s="52" t="s">
        <v>72</v>
      </c>
      <c r="K7" s="43">
        <v>2.2127223E7</v>
      </c>
      <c r="L7" s="53" t="s">
        <v>88</v>
      </c>
      <c r="M7" s="53" t="s">
        <v>55</v>
      </c>
      <c r="N7" s="53" t="s">
        <v>89</v>
      </c>
      <c r="O7" s="44">
        <v>2.2127223E7</v>
      </c>
      <c r="P7" s="46"/>
      <c r="Q7" s="53" t="s">
        <v>90</v>
      </c>
      <c r="R7" s="47"/>
      <c r="S7" s="47"/>
      <c r="T7" s="47"/>
      <c r="U7" s="47"/>
      <c r="V7" s="47"/>
      <c r="W7" s="47"/>
      <c r="X7" s="47"/>
    </row>
    <row r="8" ht="15.75" customHeight="1">
      <c r="A8" s="40">
        <v>6.0</v>
      </c>
      <c r="B8" s="50" t="s">
        <v>91</v>
      </c>
      <c r="C8" s="50" t="s">
        <v>92</v>
      </c>
      <c r="D8" s="50" t="s">
        <v>93</v>
      </c>
      <c r="E8" s="51" t="s">
        <v>48</v>
      </c>
      <c r="F8" s="51" t="s">
        <v>94</v>
      </c>
      <c r="G8" s="51" t="s">
        <v>95</v>
      </c>
      <c r="H8" s="51" t="s">
        <v>96</v>
      </c>
      <c r="I8" s="51" t="s">
        <v>52</v>
      </c>
      <c r="J8" s="52" t="s">
        <v>72</v>
      </c>
      <c r="K8" s="43">
        <v>2.2127223E7</v>
      </c>
      <c r="L8" s="53" t="s">
        <v>97</v>
      </c>
      <c r="M8" s="53" t="s">
        <v>55</v>
      </c>
      <c r="N8" s="53" t="s">
        <v>98</v>
      </c>
      <c r="O8" s="44">
        <v>2.2127223E7</v>
      </c>
      <c r="P8" s="46"/>
      <c r="Q8" s="53" t="s">
        <v>99</v>
      </c>
      <c r="R8" s="47"/>
      <c r="S8" s="47"/>
      <c r="T8" s="47"/>
      <c r="U8" s="47"/>
      <c r="V8" s="47"/>
      <c r="W8" s="47"/>
      <c r="X8" s="47"/>
    </row>
    <row r="9" ht="15.75" customHeight="1">
      <c r="A9" s="40">
        <v>7.0</v>
      </c>
      <c r="B9" s="50" t="s">
        <v>100</v>
      </c>
      <c r="C9" s="50" t="s">
        <v>101</v>
      </c>
      <c r="D9" s="50" t="s">
        <v>102</v>
      </c>
      <c r="E9" s="51" t="s">
        <v>48</v>
      </c>
      <c r="F9" s="51" t="s">
        <v>103</v>
      </c>
      <c r="G9" s="51" t="s">
        <v>104</v>
      </c>
      <c r="H9" s="51" t="s">
        <v>105</v>
      </c>
      <c r="I9" s="51" t="s">
        <v>52</v>
      </c>
      <c r="J9" s="52" t="s">
        <v>72</v>
      </c>
      <c r="K9" s="43">
        <v>2.2127223E7</v>
      </c>
      <c r="L9" s="53" t="s">
        <v>104</v>
      </c>
      <c r="M9" s="53" t="s">
        <v>55</v>
      </c>
      <c r="N9" s="54"/>
      <c r="O9" s="44">
        <v>2.2127223E7</v>
      </c>
      <c r="P9" s="46"/>
      <c r="Q9" s="54"/>
      <c r="R9" s="47"/>
      <c r="S9" s="55" t="s">
        <v>106</v>
      </c>
      <c r="T9" s="47"/>
      <c r="U9" s="47"/>
      <c r="V9" s="47"/>
      <c r="W9" s="47"/>
      <c r="X9" s="47"/>
    </row>
    <row r="10" ht="15.75" customHeight="1">
      <c r="A10" s="40">
        <v>8.0</v>
      </c>
      <c r="B10" s="50" t="s">
        <v>107</v>
      </c>
      <c r="C10" s="50" t="s">
        <v>108</v>
      </c>
      <c r="D10" s="50" t="s">
        <v>109</v>
      </c>
      <c r="E10" s="51" t="s">
        <v>48</v>
      </c>
      <c r="F10" s="51" t="s">
        <v>110</v>
      </c>
      <c r="G10" s="51" t="s">
        <v>111</v>
      </c>
      <c r="H10" s="51" t="s">
        <v>112</v>
      </c>
      <c r="I10" s="51" t="s">
        <v>52</v>
      </c>
      <c r="J10" s="52" t="s">
        <v>72</v>
      </c>
      <c r="K10" s="43">
        <v>2.2127223E7</v>
      </c>
      <c r="L10" s="53" t="s">
        <v>111</v>
      </c>
      <c r="M10" s="53" t="s">
        <v>55</v>
      </c>
      <c r="N10" s="54"/>
      <c r="O10" s="44">
        <v>2.2127223E7</v>
      </c>
      <c r="P10" s="46"/>
      <c r="Q10" s="54"/>
      <c r="R10" s="47"/>
      <c r="S10" s="47"/>
      <c r="T10" s="47"/>
      <c r="U10" s="47"/>
      <c r="V10" s="47"/>
      <c r="W10" s="47"/>
      <c r="X10" s="47"/>
    </row>
    <row r="11" ht="15.75" customHeight="1">
      <c r="A11" s="40">
        <v>9.0</v>
      </c>
      <c r="B11" s="50" t="s">
        <v>113</v>
      </c>
      <c r="C11" s="50" t="s">
        <v>114</v>
      </c>
      <c r="D11" s="50" t="s">
        <v>115</v>
      </c>
      <c r="E11" s="51" t="s">
        <v>116</v>
      </c>
      <c r="F11" s="51" t="s">
        <v>117</v>
      </c>
      <c r="G11" s="51" t="s">
        <v>118</v>
      </c>
      <c r="H11" s="51" t="s">
        <v>119</v>
      </c>
      <c r="I11" s="51" t="s">
        <v>52</v>
      </c>
      <c r="J11" s="52" t="s">
        <v>72</v>
      </c>
      <c r="K11" s="43">
        <v>2.2127223E7</v>
      </c>
      <c r="L11" s="53" t="s">
        <v>118</v>
      </c>
      <c r="M11" s="53" t="s">
        <v>55</v>
      </c>
      <c r="N11" s="54"/>
      <c r="O11" s="44">
        <v>2.2127223E7</v>
      </c>
      <c r="P11" s="46"/>
      <c r="Q11" s="54"/>
      <c r="R11" s="47"/>
      <c r="S11" s="47"/>
      <c r="T11" s="47"/>
      <c r="U11" s="47"/>
      <c r="V11" s="47"/>
      <c r="W11" s="47"/>
      <c r="X11" s="47"/>
    </row>
    <row r="12" ht="15.75" customHeight="1">
      <c r="A12" s="40">
        <v>10.0</v>
      </c>
      <c r="B12" s="50" t="s">
        <v>120</v>
      </c>
      <c r="C12" s="50" t="s">
        <v>121</v>
      </c>
      <c r="D12" s="50" t="s">
        <v>122</v>
      </c>
      <c r="E12" s="51" t="s">
        <v>116</v>
      </c>
      <c r="F12" s="51" t="s">
        <v>123</v>
      </c>
      <c r="G12" s="51" t="s">
        <v>124</v>
      </c>
      <c r="H12" s="51" t="s">
        <v>125</v>
      </c>
      <c r="I12" s="51" t="s">
        <v>52</v>
      </c>
      <c r="J12" s="52" t="s">
        <v>72</v>
      </c>
      <c r="K12" s="43">
        <v>2.2127223E7</v>
      </c>
      <c r="L12" s="53" t="s">
        <v>124</v>
      </c>
      <c r="M12" s="53" t="s">
        <v>55</v>
      </c>
      <c r="N12" s="54"/>
      <c r="O12" s="44">
        <v>2.2127223E7</v>
      </c>
      <c r="P12" s="46"/>
      <c r="Q12" s="54"/>
      <c r="R12" s="47"/>
      <c r="S12" s="47"/>
      <c r="T12" s="47"/>
      <c r="U12" s="47"/>
      <c r="V12" s="47"/>
      <c r="W12" s="47"/>
      <c r="X12" s="47"/>
    </row>
    <row r="13" ht="15.75" customHeight="1">
      <c r="A13" s="40">
        <v>11.0</v>
      </c>
      <c r="B13" s="50" t="s">
        <v>126</v>
      </c>
      <c r="C13" s="50" t="s">
        <v>127</v>
      </c>
      <c r="D13" s="50" t="s">
        <v>128</v>
      </c>
      <c r="E13" s="51" t="s">
        <v>129</v>
      </c>
      <c r="F13" s="51" t="s">
        <v>130</v>
      </c>
      <c r="G13" s="51" t="s">
        <v>131</v>
      </c>
      <c r="H13" s="51" t="s">
        <v>132</v>
      </c>
      <c r="I13" s="51" t="s">
        <v>133</v>
      </c>
      <c r="J13" s="52" t="s">
        <v>72</v>
      </c>
      <c r="K13" s="43">
        <v>2.2127223E7</v>
      </c>
      <c r="L13" s="53" t="s">
        <v>134</v>
      </c>
      <c r="M13" s="53" t="s">
        <v>135</v>
      </c>
      <c r="N13" s="53" t="s">
        <v>136</v>
      </c>
      <c r="O13" s="44">
        <v>2.2127223E7</v>
      </c>
      <c r="P13" s="46"/>
      <c r="Q13" s="53" t="s">
        <v>137</v>
      </c>
      <c r="R13" s="47"/>
      <c r="S13" s="47"/>
      <c r="T13" s="47"/>
      <c r="U13" s="47"/>
      <c r="V13" s="47"/>
      <c r="W13" s="47"/>
      <c r="X13" s="47"/>
    </row>
    <row r="14" ht="15.75" customHeight="1">
      <c r="A14" s="40">
        <v>12.0</v>
      </c>
      <c r="B14" s="50" t="s">
        <v>138</v>
      </c>
      <c r="C14" s="50" t="s">
        <v>139</v>
      </c>
      <c r="D14" s="50" t="s">
        <v>140</v>
      </c>
      <c r="E14" s="51" t="s">
        <v>141</v>
      </c>
      <c r="F14" s="51" t="s">
        <v>142</v>
      </c>
      <c r="G14" s="51" t="s">
        <v>143</v>
      </c>
      <c r="H14" s="51" t="s">
        <v>144</v>
      </c>
      <c r="I14" s="51" t="s">
        <v>133</v>
      </c>
      <c r="J14" s="52" t="s">
        <v>145</v>
      </c>
      <c r="K14" s="43">
        <v>2.2127223E7</v>
      </c>
      <c r="L14" s="53" t="s">
        <v>146</v>
      </c>
      <c r="M14" s="53" t="s">
        <v>135</v>
      </c>
      <c r="N14" s="53" t="s">
        <v>147</v>
      </c>
      <c r="O14" s="44">
        <v>2.2127223E7</v>
      </c>
      <c r="P14" s="46"/>
      <c r="Q14" s="53" t="s">
        <v>148</v>
      </c>
      <c r="R14" s="47"/>
      <c r="S14" s="47"/>
      <c r="T14" s="47"/>
      <c r="U14" s="47"/>
      <c r="V14" s="47"/>
      <c r="W14" s="47"/>
      <c r="X14" s="47"/>
    </row>
    <row r="15" ht="15.75" customHeight="1">
      <c r="A15" s="40">
        <v>13.0</v>
      </c>
      <c r="B15" s="50" t="s">
        <v>149</v>
      </c>
      <c r="C15" s="50" t="s">
        <v>150</v>
      </c>
      <c r="D15" s="50" t="s">
        <v>151</v>
      </c>
      <c r="E15" s="51" t="s">
        <v>152</v>
      </c>
      <c r="F15" s="51" t="s">
        <v>153</v>
      </c>
      <c r="G15" s="51" t="s">
        <v>154</v>
      </c>
      <c r="H15" s="51" t="s">
        <v>155</v>
      </c>
      <c r="I15" s="51" t="s">
        <v>52</v>
      </c>
      <c r="J15" s="52" t="s">
        <v>145</v>
      </c>
      <c r="K15" s="43">
        <v>2.2127223E7</v>
      </c>
      <c r="L15" s="53" t="s">
        <v>156</v>
      </c>
      <c r="M15" s="53" t="s">
        <v>135</v>
      </c>
      <c r="N15" s="53" t="s">
        <v>157</v>
      </c>
      <c r="O15" s="44">
        <v>2.2127223E7</v>
      </c>
      <c r="P15" s="46"/>
      <c r="Q15" s="53" t="s">
        <v>158</v>
      </c>
      <c r="R15" s="47"/>
      <c r="S15" s="47"/>
      <c r="T15" s="47"/>
      <c r="U15" s="47"/>
      <c r="V15" s="47"/>
      <c r="W15" s="47"/>
      <c r="X15" s="47"/>
    </row>
    <row r="16" ht="15.75" customHeight="1">
      <c r="A16" s="40">
        <v>14.0</v>
      </c>
      <c r="B16" s="50" t="s">
        <v>159</v>
      </c>
      <c r="C16" s="50" t="s">
        <v>160</v>
      </c>
      <c r="D16" s="50" t="s">
        <v>161</v>
      </c>
      <c r="E16" s="51" t="s">
        <v>48</v>
      </c>
      <c r="F16" s="51" t="s">
        <v>162</v>
      </c>
      <c r="G16" s="51" t="s">
        <v>163</v>
      </c>
      <c r="H16" s="51" t="s">
        <v>164</v>
      </c>
      <c r="I16" s="51" t="s">
        <v>52</v>
      </c>
      <c r="J16" s="52" t="s">
        <v>145</v>
      </c>
      <c r="K16" s="43">
        <v>2.2127223E7</v>
      </c>
      <c r="L16" s="53" t="s">
        <v>165</v>
      </c>
      <c r="M16" s="53" t="s">
        <v>55</v>
      </c>
      <c r="N16" s="54"/>
      <c r="O16" s="44">
        <v>2.2127223E7</v>
      </c>
      <c r="P16" s="46"/>
      <c r="Q16" s="54"/>
      <c r="R16" s="47"/>
      <c r="S16" s="47"/>
      <c r="T16" s="47"/>
      <c r="U16" s="47"/>
      <c r="V16" s="47"/>
      <c r="W16" s="47"/>
      <c r="X16" s="47"/>
    </row>
    <row r="17" ht="15.75" customHeight="1">
      <c r="A17" s="40">
        <v>15.0</v>
      </c>
      <c r="B17" s="50" t="s">
        <v>166</v>
      </c>
      <c r="C17" s="50" t="s">
        <v>167</v>
      </c>
      <c r="D17" s="50" t="s">
        <v>168</v>
      </c>
      <c r="E17" s="51" t="s">
        <v>48</v>
      </c>
      <c r="F17" s="51" t="s">
        <v>169</v>
      </c>
      <c r="G17" s="51" t="s">
        <v>170</v>
      </c>
      <c r="H17" s="51" t="s">
        <v>171</v>
      </c>
      <c r="I17" s="51" t="s">
        <v>133</v>
      </c>
      <c r="J17" s="52" t="s">
        <v>172</v>
      </c>
      <c r="K17" s="43">
        <v>2.2127223E7</v>
      </c>
      <c r="L17" s="53" t="s">
        <v>170</v>
      </c>
      <c r="M17" s="53" t="s">
        <v>55</v>
      </c>
      <c r="N17" s="54"/>
      <c r="O17" s="44">
        <v>2.2127223E7</v>
      </c>
      <c r="P17" s="46"/>
      <c r="Q17" s="54"/>
      <c r="R17" s="47"/>
      <c r="S17" s="47"/>
      <c r="T17" s="47"/>
      <c r="U17" s="47"/>
      <c r="V17" s="47"/>
      <c r="W17" s="47"/>
      <c r="X17" s="47"/>
    </row>
    <row r="18" ht="15.75" customHeight="1">
      <c r="A18" s="40">
        <v>16.0</v>
      </c>
      <c r="B18" s="50" t="s">
        <v>173</v>
      </c>
      <c r="C18" s="50" t="s">
        <v>174</v>
      </c>
      <c r="D18" s="50" t="s">
        <v>175</v>
      </c>
      <c r="E18" s="51" t="s">
        <v>48</v>
      </c>
      <c r="F18" s="51" t="s">
        <v>176</v>
      </c>
      <c r="G18" s="51" t="s">
        <v>86</v>
      </c>
      <c r="H18" s="51" t="s">
        <v>177</v>
      </c>
      <c r="I18" s="51" t="s">
        <v>133</v>
      </c>
      <c r="J18" s="52" t="s">
        <v>72</v>
      </c>
      <c r="K18" s="43">
        <v>2.2127223E7</v>
      </c>
      <c r="L18" s="53" t="s">
        <v>88</v>
      </c>
      <c r="M18" s="53" t="s">
        <v>55</v>
      </c>
      <c r="N18" s="53" t="s">
        <v>178</v>
      </c>
      <c r="O18" s="44">
        <v>2.2127223E7</v>
      </c>
      <c r="P18" s="46"/>
      <c r="Q18" s="53" t="s">
        <v>90</v>
      </c>
      <c r="R18" s="47"/>
      <c r="S18" s="47"/>
      <c r="T18" s="47"/>
      <c r="U18" s="47"/>
      <c r="V18" s="47"/>
      <c r="W18" s="47"/>
      <c r="X18" s="47"/>
    </row>
    <row r="19" ht="15.75" customHeight="1">
      <c r="A19" s="40">
        <v>17.0</v>
      </c>
      <c r="B19" s="50" t="s">
        <v>179</v>
      </c>
      <c r="C19" s="50" t="s">
        <v>180</v>
      </c>
      <c r="D19" s="50" t="s">
        <v>181</v>
      </c>
      <c r="E19" s="51" t="s">
        <v>48</v>
      </c>
      <c r="F19" s="51" t="s">
        <v>182</v>
      </c>
      <c r="G19" s="51" t="s">
        <v>86</v>
      </c>
      <c r="H19" s="51" t="s">
        <v>183</v>
      </c>
      <c r="I19" s="51" t="s">
        <v>133</v>
      </c>
      <c r="J19" s="52" t="s">
        <v>72</v>
      </c>
      <c r="K19" s="43">
        <v>2.2127223E7</v>
      </c>
      <c r="L19" s="53" t="s">
        <v>88</v>
      </c>
      <c r="M19" s="53" t="s">
        <v>55</v>
      </c>
      <c r="N19" s="53" t="s">
        <v>184</v>
      </c>
      <c r="O19" s="44">
        <v>2.2127223E7</v>
      </c>
      <c r="P19" s="46"/>
      <c r="Q19" s="53" t="s">
        <v>90</v>
      </c>
      <c r="R19" s="47"/>
      <c r="S19" s="47"/>
      <c r="T19" s="47"/>
      <c r="U19" s="47"/>
      <c r="V19" s="47"/>
      <c r="W19" s="47"/>
      <c r="X19" s="47"/>
    </row>
    <row r="20" ht="15.75" customHeight="1">
      <c r="A20" s="40">
        <v>18.0</v>
      </c>
      <c r="B20" s="50" t="s">
        <v>185</v>
      </c>
      <c r="C20" s="50" t="s">
        <v>186</v>
      </c>
      <c r="D20" s="50" t="s">
        <v>187</v>
      </c>
      <c r="E20" s="51" t="s">
        <v>48</v>
      </c>
      <c r="F20" s="51" t="s">
        <v>188</v>
      </c>
      <c r="G20" s="51" t="s">
        <v>189</v>
      </c>
      <c r="H20" s="51" t="s">
        <v>190</v>
      </c>
      <c r="I20" s="51" t="s">
        <v>133</v>
      </c>
      <c r="J20" s="52" t="s">
        <v>191</v>
      </c>
      <c r="K20" s="43">
        <v>2.2127223E7</v>
      </c>
      <c r="L20" s="53" t="s">
        <v>192</v>
      </c>
      <c r="M20" s="53" t="s">
        <v>135</v>
      </c>
      <c r="N20" s="53" t="s">
        <v>193</v>
      </c>
      <c r="O20" s="44">
        <v>2.2127223E7</v>
      </c>
      <c r="P20" s="46"/>
      <c r="Q20" s="53" t="s">
        <v>194</v>
      </c>
      <c r="R20" s="47"/>
      <c r="S20" s="47"/>
      <c r="T20" s="47"/>
      <c r="U20" s="47"/>
      <c r="V20" s="47"/>
      <c r="W20" s="47"/>
      <c r="X20" s="47"/>
    </row>
    <row r="21" ht="15.75" customHeight="1">
      <c r="A21" s="40">
        <v>19.0</v>
      </c>
      <c r="B21" s="50" t="s">
        <v>195</v>
      </c>
      <c r="C21" s="50" t="s">
        <v>196</v>
      </c>
      <c r="D21" s="50" t="s">
        <v>197</v>
      </c>
      <c r="E21" s="51" t="s">
        <v>48</v>
      </c>
      <c r="F21" s="51" t="s">
        <v>198</v>
      </c>
      <c r="G21" s="51" t="s">
        <v>199</v>
      </c>
      <c r="H21" s="51" t="s">
        <v>200</v>
      </c>
      <c r="I21" s="51" t="s">
        <v>133</v>
      </c>
      <c r="J21" s="52" t="s">
        <v>191</v>
      </c>
      <c r="K21" s="43">
        <v>2.2127223E7</v>
      </c>
      <c r="L21" s="53" t="s">
        <v>199</v>
      </c>
      <c r="M21" s="53" t="s">
        <v>55</v>
      </c>
      <c r="N21" s="54"/>
      <c r="O21" s="44">
        <v>2.2127223E7</v>
      </c>
      <c r="P21" s="46"/>
      <c r="Q21" s="54"/>
      <c r="R21" s="47"/>
      <c r="S21" s="47"/>
      <c r="T21" s="47"/>
      <c r="U21" s="47"/>
      <c r="V21" s="47"/>
      <c r="W21" s="47"/>
      <c r="X21" s="47"/>
    </row>
    <row r="22" ht="15.75" customHeight="1">
      <c r="A22" s="40">
        <v>20.0</v>
      </c>
      <c r="B22" s="50" t="s">
        <v>201</v>
      </c>
      <c r="C22" s="50" t="s">
        <v>202</v>
      </c>
      <c r="D22" s="50" t="s">
        <v>203</v>
      </c>
      <c r="E22" s="51" t="s">
        <v>48</v>
      </c>
      <c r="F22" s="51" t="s">
        <v>204</v>
      </c>
      <c r="G22" s="51" t="s">
        <v>205</v>
      </c>
      <c r="H22" s="51" t="s">
        <v>206</v>
      </c>
      <c r="I22" s="51" t="s">
        <v>133</v>
      </c>
      <c r="J22" s="52" t="s">
        <v>191</v>
      </c>
      <c r="K22" s="43">
        <v>2.2127223E7</v>
      </c>
      <c r="L22" s="53" t="s">
        <v>205</v>
      </c>
      <c r="M22" s="53" t="s">
        <v>55</v>
      </c>
      <c r="N22" s="54"/>
      <c r="O22" s="44">
        <v>2.2127223E7</v>
      </c>
      <c r="P22" s="46"/>
      <c r="Q22" s="54"/>
      <c r="R22" s="47"/>
      <c r="S22" s="47"/>
      <c r="T22" s="47"/>
      <c r="U22" s="47"/>
      <c r="V22" s="47"/>
      <c r="W22" s="47"/>
      <c r="X22" s="47"/>
    </row>
    <row r="23" ht="15.75" customHeight="1">
      <c r="A23" s="40">
        <v>21.0</v>
      </c>
      <c r="B23" s="50" t="s">
        <v>207</v>
      </c>
      <c r="C23" s="50" t="s">
        <v>208</v>
      </c>
      <c r="D23" s="50" t="s">
        <v>209</v>
      </c>
      <c r="E23" s="51" t="s">
        <v>210</v>
      </c>
      <c r="F23" s="51" t="s">
        <v>211</v>
      </c>
      <c r="G23" s="51" t="s">
        <v>212</v>
      </c>
      <c r="H23" s="51" t="s">
        <v>213</v>
      </c>
      <c r="I23" s="51" t="s">
        <v>214</v>
      </c>
      <c r="J23" s="52" t="s">
        <v>215</v>
      </c>
      <c r="K23" s="43">
        <v>2.2127223E7</v>
      </c>
      <c r="L23" s="53" t="s">
        <v>216</v>
      </c>
      <c r="M23" s="53" t="s">
        <v>55</v>
      </c>
      <c r="N23" s="54"/>
      <c r="O23" s="44">
        <v>2.2127223E7</v>
      </c>
      <c r="P23" s="46"/>
      <c r="Q23" s="54"/>
      <c r="R23" s="47"/>
      <c r="S23" s="47"/>
      <c r="T23" s="47"/>
      <c r="U23" s="47"/>
      <c r="V23" s="47"/>
      <c r="W23" s="47"/>
      <c r="X23" s="47"/>
    </row>
    <row r="24" ht="15.75" customHeight="1">
      <c r="A24" s="40">
        <v>22.0</v>
      </c>
      <c r="B24" s="50" t="s">
        <v>217</v>
      </c>
      <c r="C24" s="50" t="s">
        <v>218</v>
      </c>
      <c r="D24" s="50" t="s">
        <v>219</v>
      </c>
      <c r="E24" s="51" t="s">
        <v>220</v>
      </c>
      <c r="F24" s="51" t="s">
        <v>221</v>
      </c>
      <c r="G24" s="51" t="s">
        <v>222</v>
      </c>
      <c r="H24" s="51" t="s">
        <v>223</v>
      </c>
      <c r="I24" s="51" t="s">
        <v>133</v>
      </c>
      <c r="J24" s="52" t="s">
        <v>145</v>
      </c>
      <c r="K24" s="43">
        <v>2.2127223E7</v>
      </c>
      <c r="L24" s="53" t="s">
        <v>222</v>
      </c>
      <c r="M24" s="53" t="s">
        <v>55</v>
      </c>
      <c r="N24" s="54"/>
      <c r="O24" s="44">
        <v>2.2127223E7</v>
      </c>
      <c r="P24" s="46"/>
      <c r="Q24" s="54"/>
      <c r="R24" s="47"/>
      <c r="S24" s="47"/>
      <c r="T24" s="47"/>
      <c r="U24" s="47"/>
      <c r="V24" s="47"/>
      <c r="W24" s="47"/>
      <c r="X24" s="47"/>
    </row>
    <row r="25" ht="15.75" customHeight="1">
      <c r="A25" s="40">
        <v>23.0</v>
      </c>
      <c r="B25" s="50" t="s">
        <v>224</v>
      </c>
      <c r="C25" s="50" t="s">
        <v>225</v>
      </c>
      <c r="D25" s="50" t="s">
        <v>226</v>
      </c>
      <c r="E25" s="51" t="s">
        <v>48</v>
      </c>
      <c r="F25" s="51" t="s">
        <v>227</v>
      </c>
      <c r="G25" s="51" t="s">
        <v>228</v>
      </c>
      <c r="H25" s="51" t="s">
        <v>229</v>
      </c>
      <c r="I25" s="51" t="s">
        <v>133</v>
      </c>
      <c r="J25" s="52" t="s">
        <v>145</v>
      </c>
      <c r="K25" s="43">
        <v>2.2127223E7</v>
      </c>
      <c r="L25" s="53" t="s">
        <v>230</v>
      </c>
      <c r="M25" s="53" t="s">
        <v>135</v>
      </c>
      <c r="N25" s="53" t="s">
        <v>231</v>
      </c>
      <c r="O25" s="44">
        <v>2.2127223E7</v>
      </c>
      <c r="P25" s="46"/>
      <c r="Q25" s="53" t="s">
        <v>232</v>
      </c>
      <c r="R25" s="47"/>
      <c r="S25" s="47"/>
      <c r="T25" s="47"/>
      <c r="U25" s="47"/>
      <c r="V25" s="47"/>
      <c r="W25" s="47"/>
      <c r="X25" s="47"/>
    </row>
    <row r="26" ht="15.75" customHeight="1">
      <c r="A26" s="40">
        <v>24.0</v>
      </c>
      <c r="B26" s="50" t="s">
        <v>233</v>
      </c>
      <c r="C26" s="50" t="s">
        <v>234</v>
      </c>
      <c r="D26" s="50" t="s">
        <v>235</v>
      </c>
      <c r="E26" s="51" t="s">
        <v>236</v>
      </c>
      <c r="F26" s="51" t="s">
        <v>237</v>
      </c>
      <c r="G26" s="51" t="s">
        <v>238</v>
      </c>
      <c r="H26" s="51" t="s">
        <v>239</v>
      </c>
      <c r="I26" s="51" t="s">
        <v>214</v>
      </c>
      <c r="J26" s="52" t="s">
        <v>240</v>
      </c>
      <c r="K26" s="43">
        <v>2.2127223E7</v>
      </c>
      <c r="L26" s="53" t="s">
        <v>241</v>
      </c>
      <c r="M26" s="53" t="s">
        <v>135</v>
      </c>
      <c r="N26" s="53" t="s">
        <v>242</v>
      </c>
      <c r="O26" s="44">
        <v>2.2127223E7</v>
      </c>
      <c r="P26" s="46"/>
      <c r="Q26" s="53" t="s">
        <v>243</v>
      </c>
      <c r="R26" s="47"/>
      <c r="S26" s="47"/>
      <c r="T26" s="47"/>
      <c r="U26" s="47"/>
      <c r="V26" s="47"/>
      <c r="W26" s="47"/>
      <c r="X26" s="47"/>
    </row>
    <row r="27" ht="15.75" customHeight="1">
      <c r="A27" s="40">
        <v>25.0</v>
      </c>
      <c r="B27" s="50" t="s">
        <v>244</v>
      </c>
      <c r="C27" s="50" t="s">
        <v>245</v>
      </c>
      <c r="D27" s="50" t="s">
        <v>246</v>
      </c>
      <c r="E27" s="51" t="s">
        <v>61</v>
      </c>
      <c r="F27" s="51" t="s">
        <v>247</v>
      </c>
      <c r="G27" s="51" t="s">
        <v>248</v>
      </c>
      <c r="H27" s="51" t="s">
        <v>249</v>
      </c>
      <c r="I27" s="51" t="s">
        <v>214</v>
      </c>
      <c r="J27" s="52" t="s">
        <v>250</v>
      </c>
      <c r="K27" s="43">
        <v>2.2127223E7</v>
      </c>
      <c r="L27" s="53" t="s">
        <v>251</v>
      </c>
      <c r="M27" s="53" t="s">
        <v>252</v>
      </c>
      <c r="N27" s="53" t="s">
        <v>253</v>
      </c>
      <c r="O27" s="44">
        <v>2.2127223E7</v>
      </c>
      <c r="P27" s="46"/>
      <c r="Q27" s="53" t="s">
        <v>254</v>
      </c>
      <c r="R27" s="47"/>
      <c r="S27" s="47"/>
      <c r="T27" s="47"/>
      <c r="U27" s="47"/>
      <c r="V27" s="47"/>
      <c r="W27" s="47"/>
      <c r="X27" s="47"/>
    </row>
    <row r="28" ht="15.75" customHeight="1">
      <c r="A28" s="56" t="s">
        <v>27</v>
      </c>
      <c r="B28" s="56"/>
      <c r="C28" s="57"/>
      <c r="D28" s="56"/>
      <c r="E28" s="56"/>
      <c r="F28" s="56"/>
      <c r="G28" s="56"/>
      <c r="H28" s="56"/>
      <c r="I28" s="56"/>
      <c r="J28" s="56"/>
      <c r="K28" s="56"/>
      <c r="L28" s="56"/>
      <c r="M28" s="56"/>
      <c r="N28" s="56"/>
      <c r="O28" s="56"/>
      <c r="P28" s="56"/>
      <c r="Q28" s="56"/>
      <c r="R28" s="47"/>
      <c r="S28" s="47"/>
      <c r="T28" s="47"/>
      <c r="U28" s="47"/>
      <c r="V28" s="47"/>
      <c r="W28" s="47"/>
      <c r="X28" s="47"/>
    </row>
    <row r="29" ht="15.75" customHeight="1">
      <c r="C29" s="58"/>
      <c r="F29" s="59"/>
      <c r="G29" s="59"/>
      <c r="H29" s="59"/>
      <c r="I29" s="59"/>
      <c r="J29" s="60"/>
      <c r="K29" s="60"/>
    </row>
    <row r="30" ht="15.75" customHeight="1">
      <c r="C30" s="58"/>
      <c r="F30" s="59"/>
      <c r="G30" s="59"/>
      <c r="H30" s="59"/>
      <c r="I30" s="59"/>
      <c r="J30" s="60"/>
      <c r="K30" s="60"/>
    </row>
    <row r="31" ht="15.75" customHeight="1">
      <c r="C31" s="58"/>
      <c r="F31" s="59"/>
      <c r="G31" s="59"/>
      <c r="H31" s="59"/>
      <c r="I31" s="59"/>
      <c r="J31" s="60"/>
      <c r="K31" s="60"/>
    </row>
    <row r="32" ht="15.75" customHeight="1">
      <c r="C32" s="58"/>
      <c r="F32" s="59"/>
      <c r="G32" s="59"/>
      <c r="H32" s="59"/>
      <c r="I32" s="59"/>
      <c r="J32" s="60"/>
      <c r="K32" s="60"/>
    </row>
    <row r="33" ht="15.75" customHeight="1">
      <c r="A33" s="61"/>
      <c r="B33" s="61"/>
      <c r="C33" s="61"/>
      <c r="D33" s="61"/>
      <c r="E33" s="61"/>
      <c r="F33" s="61"/>
      <c r="G33" s="61"/>
      <c r="H33" s="61"/>
      <c r="I33" s="61"/>
      <c r="J33" s="61"/>
    </row>
    <row r="34" ht="15.75" customHeight="1">
      <c r="C34" s="58"/>
      <c r="F34" s="59"/>
      <c r="G34" s="59"/>
      <c r="H34" s="59"/>
      <c r="I34" s="59"/>
    </row>
    <row r="35" ht="15.75" customHeight="1">
      <c r="C35" s="58"/>
      <c r="F35" s="59"/>
      <c r="G35" s="59"/>
      <c r="H35" s="59"/>
      <c r="I35" s="59"/>
    </row>
    <row r="36" ht="15.75" customHeight="1">
      <c r="C36" s="58"/>
      <c r="F36" s="59"/>
      <c r="G36" s="59"/>
      <c r="H36" s="59"/>
      <c r="I36" s="59"/>
    </row>
    <row r="37" ht="15.75" customHeight="1">
      <c r="C37" s="58"/>
      <c r="F37" s="59"/>
      <c r="G37" s="59"/>
      <c r="H37" s="59"/>
      <c r="I37" s="59"/>
    </row>
    <row r="38" ht="15.75" customHeight="1">
      <c r="C38" s="58"/>
      <c r="F38" s="59"/>
      <c r="G38" s="59"/>
      <c r="H38" s="59"/>
      <c r="I38" s="59"/>
    </row>
    <row r="39" ht="15.75" customHeight="1">
      <c r="C39" s="58"/>
      <c r="F39" s="59"/>
      <c r="G39" s="59"/>
      <c r="H39" s="59"/>
      <c r="I39" s="59"/>
    </row>
    <row r="40" ht="15.75" customHeight="1">
      <c r="C40" s="58"/>
      <c r="F40" s="59"/>
      <c r="G40" s="59"/>
      <c r="H40" s="59"/>
      <c r="I40" s="59"/>
    </row>
    <row r="41" ht="15.75" customHeight="1">
      <c r="C41" s="58"/>
      <c r="F41" s="59"/>
      <c r="G41" s="59"/>
      <c r="H41" s="59"/>
      <c r="I41" s="59"/>
    </row>
    <row r="42" ht="15.75" customHeight="1">
      <c r="C42" s="58"/>
      <c r="F42" s="59"/>
      <c r="G42" s="59"/>
      <c r="H42" s="59"/>
      <c r="I42" s="59"/>
    </row>
    <row r="43" ht="15.75" customHeight="1">
      <c r="C43" s="58"/>
      <c r="F43" s="59"/>
      <c r="G43" s="59"/>
      <c r="H43" s="59"/>
      <c r="I43" s="59"/>
    </row>
    <row r="44" ht="15.75" customHeight="1">
      <c r="C44" s="58"/>
      <c r="F44" s="59"/>
      <c r="G44" s="59"/>
      <c r="H44" s="59"/>
      <c r="I44" s="59"/>
    </row>
    <row r="45" ht="15.75" customHeight="1">
      <c r="C45" s="58"/>
      <c r="F45" s="59"/>
      <c r="G45" s="59"/>
      <c r="H45" s="59"/>
      <c r="I45" s="59"/>
    </row>
    <row r="46" ht="15.75" customHeight="1">
      <c r="C46" s="58"/>
      <c r="F46" s="59"/>
      <c r="G46" s="59"/>
      <c r="H46" s="59"/>
      <c r="I46" s="59"/>
    </row>
    <row r="47" ht="15.75" customHeight="1">
      <c r="C47" s="58"/>
      <c r="F47" s="59"/>
      <c r="G47" s="59"/>
      <c r="H47" s="59"/>
      <c r="I47" s="59"/>
    </row>
    <row r="48" ht="15.75" customHeight="1">
      <c r="C48" s="58"/>
      <c r="F48" s="59"/>
      <c r="G48" s="59"/>
      <c r="H48" s="59"/>
      <c r="I48" s="59"/>
    </row>
    <row r="49" ht="15.75" customHeight="1">
      <c r="C49" s="58"/>
      <c r="F49" s="59"/>
      <c r="G49" s="59"/>
      <c r="H49" s="59"/>
      <c r="I49" s="59"/>
    </row>
    <row r="50" ht="15.75" customHeight="1">
      <c r="C50" s="58"/>
      <c r="F50" s="59"/>
      <c r="G50" s="59"/>
      <c r="H50" s="59"/>
      <c r="I50" s="59"/>
    </row>
    <row r="51" ht="15.75" customHeight="1">
      <c r="C51" s="58"/>
      <c r="F51" s="59"/>
      <c r="G51" s="59"/>
      <c r="H51" s="59"/>
      <c r="I51" s="59"/>
    </row>
    <row r="52" ht="15.75" customHeight="1">
      <c r="C52" s="58"/>
      <c r="F52" s="59"/>
      <c r="G52" s="59"/>
      <c r="H52" s="59"/>
      <c r="I52" s="59"/>
    </row>
    <row r="53" ht="15.75" customHeight="1">
      <c r="C53" s="58"/>
      <c r="F53" s="59"/>
      <c r="G53" s="59"/>
      <c r="H53" s="59"/>
      <c r="I53" s="59"/>
    </row>
    <row r="54" ht="15.75" customHeight="1">
      <c r="C54" s="58"/>
      <c r="F54" s="59"/>
      <c r="G54" s="59"/>
      <c r="H54" s="59"/>
      <c r="I54" s="59"/>
    </row>
    <row r="55" ht="15.75" customHeight="1">
      <c r="C55" s="58"/>
      <c r="F55" s="59"/>
      <c r="G55" s="59"/>
      <c r="H55" s="59"/>
      <c r="I55" s="59"/>
    </row>
    <row r="56" ht="15.75" customHeight="1">
      <c r="C56" s="58"/>
      <c r="F56" s="59"/>
      <c r="G56" s="59"/>
      <c r="H56" s="59"/>
      <c r="I56" s="59"/>
    </row>
    <row r="57" ht="15.75" customHeight="1">
      <c r="C57" s="58"/>
      <c r="F57" s="59"/>
      <c r="G57" s="59"/>
      <c r="H57" s="59"/>
      <c r="I57" s="59"/>
    </row>
    <row r="58" ht="15.75" customHeight="1">
      <c r="C58" s="58"/>
      <c r="F58" s="59"/>
      <c r="G58" s="59"/>
      <c r="H58" s="59"/>
      <c r="I58" s="59"/>
    </row>
    <row r="59" ht="15.75" customHeight="1">
      <c r="C59" s="58"/>
      <c r="F59" s="59"/>
      <c r="G59" s="59"/>
      <c r="H59" s="59"/>
      <c r="I59" s="59"/>
    </row>
    <row r="60" ht="15.75" customHeight="1">
      <c r="C60" s="58"/>
      <c r="F60" s="59"/>
      <c r="G60" s="59"/>
      <c r="H60" s="59"/>
      <c r="I60" s="59"/>
    </row>
    <row r="61" ht="15.75" customHeight="1">
      <c r="C61" s="58"/>
      <c r="F61" s="59"/>
      <c r="G61" s="59"/>
      <c r="H61" s="59"/>
      <c r="I61" s="59"/>
    </row>
    <row r="62" ht="15.75" customHeight="1">
      <c r="C62" s="58"/>
      <c r="F62" s="59"/>
      <c r="G62" s="59"/>
      <c r="H62" s="59"/>
      <c r="I62" s="59"/>
    </row>
    <row r="63" ht="15.75" customHeight="1">
      <c r="C63" s="58"/>
      <c r="F63" s="59"/>
      <c r="G63" s="59"/>
      <c r="H63" s="59"/>
      <c r="I63" s="59"/>
    </row>
    <row r="64" ht="15.75" customHeight="1">
      <c r="C64" s="58"/>
      <c r="F64" s="59"/>
      <c r="G64" s="59"/>
      <c r="H64" s="59"/>
      <c r="I64" s="59"/>
    </row>
    <row r="65" ht="15.75" customHeight="1">
      <c r="C65" s="58"/>
      <c r="F65" s="59"/>
      <c r="G65" s="59"/>
      <c r="H65" s="59"/>
      <c r="I65" s="59"/>
    </row>
    <row r="66" ht="15.75" customHeight="1">
      <c r="C66" s="58"/>
      <c r="F66" s="59"/>
      <c r="G66" s="59"/>
      <c r="H66" s="59"/>
      <c r="I66" s="59"/>
    </row>
    <row r="67" ht="15.75" customHeight="1">
      <c r="C67" s="58"/>
      <c r="F67" s="59"/>
      <c r="G67" s="59"/>
      <c r="H67" s="59"/>
      <c r="I67" s="59"/>
    </row>
    <row r="68" ht="15.75" customHeight="1">
      <c r="C68" s="58"/>
      <c r="F68" s="59"/>
      <c r="G68" s="59"/>
      <c r="H68" s="59"/>
      <c r="I68" s="59"/>
    </row>
    <row r="69" ht="15.75" customHeight="1">
      <c r="C69" s="58"/>
      <c r="F69" s="59"/>
      <c r="G69" s="59"/>
      <c r="H69" s="59"/>
      <c r="I69" s="59"/>
    </row>
    <row r="70" ht="15.75" customHeight="1">
      <c r="C70" s="58"/>
      <c r="F70" s="59"/>
      <c r="G70" s="59"/>
      <c r="H70" s="59"/>
      <c r="I70" s="59"/>
    </row>
    <row r="71" ht="15.75" customHeight="1">
      <c r="C71" s="58"/>
      <c r="F71" s="59"/>
      <c r="G71" s="59"/>
      <c r="H71" s="59"/>
      <c r="I71" s="59"/>
    </row>
    <row r="72" ht="15.75" customHeight="1">
      <c r="C72" s="58"/>
      <c r="F72" s="59"/>
      <c r="G72" s="59"/>
      <c r="H72" s="59"/>
      <c r="I72" s="59"/>
    </row>
    <row r="73" ht="15.75" customHeight="1">
      <c r="C73" s="58"/>
      <c r="F73" s="59"/>
      <c r="G73" s="59"/>
      <c r="H73" s="59"/>
      <c r="I73" s="59"/>
    </row>
    <row r="74" ht="15.75" customHeight="1">
      <c r="C74" s="58"/>
      <c r="F74" s="59"/>
      <c r="G74" s="59"/>
      <c r="H74" s="59"/>
      <c r="I74" s="59"/>
    </row>
    <row r="75" ht="15.75" customHeight="1">
      <c r="C75" s="58"/>
      <c r="F75" s="59"/>
      <c r="G75" s="59"/>
      <c r="H75" s="59"/>
      <c r="I75" s="59"/>
    </row>
    <row r="76" ht="15.75" customHeight="1">
      <c r="C76" s="58"/>
      <c r="F76" s="59"/>
      <c r="G76" s="59"/>
      <c r="H76" s="59"/>
      <c r="I76" s="59"/>
    </row>
    <row r="77" ht="15.75" customHeight="1">
      <c r="C77" s="58"/>
      <c r="F77" s="59"/>
      <c r="G77" s="59"/>
      <c r="H77" s="59"/>
      <c r="I77" s="59"/>
    </row>
    <row r="78" ht="15.75" customHeight="1">
      <c r="C78" s="58"/>
      <c r="F78" s="59"/>
      <c r="G78" s="59"/>
      <c r="H78" s="59"/>
      <c r="I78" s="59"/>
    </row>
    <row r="79" ht="15.75" customHeight="1">
      <c r="C79" s="58"/>
      <c r="F79" s="59"/>
      <c r="G79" s="59"/>
      <c r="H79" s="59"/>
      <c r="I79" s="59"/>
    </row>
    <row r="80" ht="15.75" customHeight="1">
      <c r="C80" s="58"/>
      <c r="F80" s="59"/>
      <c r="G80" s="59"/>
      <c r="H80" s="59"/>
      <c r="I80" s="59"/>
    </row>
    <row r="81" ht="15.75" customHeight="1">
      <c r="C81" s="58"/>
      <c r="F81" s="59"/>
      <c r="G81" s="59"/>
      <c r="H81" s="59"/>
      <c r="I81" s="59"/>
    </row>
    <row r="82" ht="15.75" customHeight="1">
      <c r="C82" s="58"/>
      <c r="F82" s="59"/>
      <c r="G82" s="59"/>
      <c r="H82" s="59"/>
      <c r="I82" s="59"/>
    </row>
    <row r="83" ht="15.75" customHeight="1">
      <c r="C83" s="58"/>
      <c r="F83" s="59"/>
      <c r="G83" s="59"/>
      <c r="H83" s="59"/>
      <c r="I83" s="59"/>
    </row>
    <row r="84" ht="15.75" customHeight="1">
      <c r="C84" s="58"/>
      <c r="F84" s="59"/>
      <c r="G84" s="59"/>
      <c r="H84" s="59"/>
      <c r="I84" s="59"/>
    </row>
    <row r="85" ht="15.75" customHeight="1">
      <c r="C85" s="58"/>
      <c r="F85" s="59"/>
      <c r="G85" s="59"/>
      <c r="H85" s="59"/>
      <c r="I85" s="59"/>
    </row>
    <row r="86" ht="15.75" customHeight="1">
      <c r="C86" s="58"/>
      <c r="F86" s="59"/>
      <c r="G86" s="59"/>
      <c r="H86" s="59"/>
      <c r="I86" s="59"/>
    </row>
    <row r="87" ht="15.75" customHeight="1">
      <c r="C87" s="58"/>
      <c r="F87" s="59"/>
      <c r="G87" s="59"/>
      <c r="H87" s="59"/>
      <c r="I87" s="59"/>
    </row>
    <row r="88" ht="15.75" customHeight="1">
      <c r="C88" s="58"/>
      <c r="F88" s="59"/>
      <c r="G88" s="59"/>
      <c r="H88" s="59"/>
      <c r="I88" s="59"/>
    </row>
    <row r="89" ht="15.75" customHeight="1">
      <c r="C89" s="58"/>
      <c r="F89" s="59"/>
      <c r="G89" s="59"/>
      <c r="H89" s="59"/>
      <c r="I89" s="59"/>
    </row>
    <row r="90" ht="15.75" customHeight="1">
      <c r="C90" s="58"/>
      <c r="F90" s="59"/>
      <c r="G90" s="59"/>
      <c r="H90" s="59"/>
      <c r="I90" s="59"/>
    </row>
    <row r="91" ht="15.75" customHeight="1">
      <c r="C91" s="58"/>
      <c r="F91" s="59"/>
      <c r="G91" s="59"/>
      <c r="H91" s="59"/>
      <c r="I91" s="59"/>
    </row>
    <row r="92" ht="15.75" customHeight="1">
      <c r="C92" s="58"/>
      <c r="F92" s="59"/>
      <c r="G92" s="59"/>
      <c r="H92" s="59"/>
      <c r="I92" s="59"/>
    </row>
    <row r="93" ht="15.75" customHeight="1">
      <c r="C93" s="58"/>
      <c r="F93" s="59"/>
      <c r="G93" s="59"/>
      <c r="H93" s="59"/>
      <c r="I93" s="59"/>
    </row>
    <row r="94" ht="15.75" customHeight="1">
      <c r="C94" s="58"/>
      <c r="F94" s="59"/>
      <c r="G94" s="59"/>
      <c r="H94" s="59"/>
      <c r="I94" s="59"/>
    </row>
    <row r="95" ht="15.75" customHeight="1">
      <c r="C95" s="58"/>
      <c r="F95" s="59"/>
      <c r="G95" s="59"/>
      <c r="H95" s="59"/>
      <c r="I95" s="59"/>
    </row>
    <row r="96" ht="15.75" customHeight="1">
      <c r="C96" s="58"/>
      <c r="F96" s="59"/>
      <c r="G96" s="59"/>
      <c r="H96" s="59"/>
      <c r="I96" s="59"/>
    </row>
    <row r="97" ht="15.75" customHeight="1">
      <c r="C97" s="58"/>
      <c r="F97" s="59"/>
      <c r="G97" s="59"/>
      <c r="H97" s="59"/>
      <c r="I97" s="59"/>
    </row>
    <row r="98" ht="15.75" customHeight="1">
      <c r="C98" s="58"/>
      <c r="F98" s="59"/>
      <c r="G98" s="59"/>
      <c r="H98" s="59"/>
      <c r="I98" s="59"/>
    </row>
    <row r="99" ht="15.75" customHeight="1">
      <c r="C99" s="58"/>
      <c r="F99" s="59"/>
      <c r="G99" s="59"/>
      <c r="H99" s="59"/>
      <c r="I99" s="59"/>
    </row>
    <row r="100" ht="15.75" customHeight="1">
      <c r="C100" s="58"/>
      <c r="F100" s="59"/>
      <c r="G100" s="59"/>
      <c r="H100" s="59"/>
      <c r="I100" s="59"/>
    </row>
    <row r="101" ht="15.75" customHeight="1">
      <c r="C101" s="58"/>
      <c r="F101" s="59"/>
      <c r="G101" s="59"/>
      <c r="H101" s="59"/>
      <c r="I101" s="59"/>
    </row>
    <row r="102" ht="15.75" customHeight="1">
      <c r="C102" s="58"/>
      <c r="F102" s="59"/>
      <c r="G102" s="59"/>
      <c r="H102" s="59"/>
      <c r="I102" s="59"/>
    </row>
    <row r="103" ht="15.75" customHeight="1">
      <c r="C103" s="58"/>
      <c r="F103" s="59"/>
      <c r="G103" s="59"/>
      <c r="H103" s="59"/>
      <c r="I103" s="59"/>
    </row>
    <row r="104" ht="15.75" customHeight="1">
      <c r="C104" s="58"/>
      <c r="F104" s="59"/>
      <c r="G104" s="59"/>
      <c r="H104" s="59"/>
      <c r="I104" s="59"/>
    </row>
    <row r="105" ht="15.75" customHeight="1">
      <c r="C105" s="58"/>
      <c r="F105" s="59"/>
      <c r="G105" s="59"/>
      <c r="H105" s="59"/>
      <c r="I105" s="59"/>
    </row>
    <row r="106" ht="15.75" customHeight="1">
      <c r="C106" s="58"/>
      <c r="F106" s="59"/>
      <c r="G106" s="59"/>
      <c r="H106" s="59"/>
      <c r="I106" s="59"/>
    </row>
    <row r="107" ht="15.75" customHeight="1">
      <c r="C107" s="58"/>
      <c r="F107" s="59"/>
      <c r="G107" s="59"/>
      <c r="H107" s="59"/>
      <c r="I107" s="59"/>
    </row>
    <row r="108" ht="15.75" customHeight="1">
      <c r="C108" s="58"/>
      <c r="F108" s="59"/>
      <c r="G108" s="59"/>
      <c r="H108" s="59"/>
      <c r="I108" s="59"/>
    </row>
    <row r="109" ht="15.75" customHeight="1">
      <c r="C109" s="58"/>
      <c r="F109" s="59"/>
      <c r="G109" s="59"/>
      <c r="H109" s="59"/>
      <c r="I109" s="59"/>
    </row>
    <row r="110" ht="15.75" customHeight="1">
      <c r="C110" s="58"/>
      <c r="F110" s="59"/>
      <c r="G110" s="59"/>
      <c r="H110" s="59"/>
      <c r="I110" s="59"/>
    </row>
    <row r="111" ht="15.75" customHeight="1">
      <c r="C111" s="58"/>
      <c r="F111" s="59"/>
      <c r="G111" s="59"/>
      <c r="H111" s="59"/>
      <c r="I111" s="59"/>
    </row>
    <row r="112" ht="15.75" customHeight="1">
      <c r="C112" s="58"/>
      <c r="F112" s="59"/>
      <c r="G112" s="59"/>
      <c r="H112" s="59"/>
      <c r="I112" s="59"/>
    </row>
    <row r="113" ht="15.75" customHeight="1">
      <c r="C113" s="58"/>
      <c r="F113" s="59"/>
      <c r="G113" s="59"/>
      <c r="H113" s="59"/>
      <c r="I113" s="59"/>
    </row>
    <row r="114" ht="15.75" customHeight="1">
      <c r="C114" s="58"/>
      <c r="F114" s="59"/>
      <c r="G114" s="59"/>
      <c r="H114" s="59"/>
      <c r="I114" s="59"/>
    </row>
    <row r="115" ht="15.75" customHeight="1">
      <c r="C115" s="58"/>
      <c r="F115" s="59"/>
      <c r="G115" s="59"/>
      <c r="H115" s="59"/>
      <c r="I115" s="59"/>
    </row>
    <row r="116" ht="15.75" customHeight="1">
      <c r="C116" s="58"/>
      <c r="F116" s="59"/>
      <c r="G116" s="59"/>
      <c r="H116" s="59"/>
      <c r="I116" s="59"/>
    </row>
    <row r="117" ht="15.75" customHeight="1">
      <c r="C117" s="58"/>
      <c r="F117" s="59"/>
      <c r="G117" s="59"/>
      <c r="H117" s="59"/>
      <c r="I117" s="59"/>
    </row>
    <row r="118" ht="15.75" customHeight="1">
      <c r="C118" s="58"/>
      <c r="F118" s="59"/>
      <c r="G118" s="59"/>
      <c r="H118" s="59"/>
      <c r="I118" s="59"/>
    </row>
    <row r="119" ht="15.75" customHeight="1">
      <c r="C119" s="58"/>
      <c r="F119" s="59"/>
      <c r="G119" s="59"/>
      <c r="H119" s="59"/>
      <c r="I119" s="59"/>
    </row>
    <row r="120" ht="15.75" customHeight="1">
      <c r="C120" s="58"/>
      <c r="F120" s="59"/>
      <c r="G120" s="59"/>
      <c r="H120" s="59"/>
      <c r="I120" s="59"/>
    </row>
    <row r="121" ht="15.75" customHeight="1">
      <c r="C121" s="58"/>
      <c r="F121" s="59"/>
      <c r="G121" s="59"/>
      <c r="H121" s="59"/>
      <c r="I121" s="59"/>
    </row>
    <row r="122" ht="15.75" customHeight="1">
      <c r="C122" s="58"/>
      <c r="F122" s="59"/>
      <c r="G122" s="59"/>
      <c r="H122" s="59"/>
      <c r="I122" s="59"/>
    </row>
    <row r="123" ht="15.75" customHeight="1">
      <c r="C123" s="58"/>
      <c r="F123" s="59"/>
      <c r="G123" s="59"/>
      <c r="H123" s="59"/>
      <c r="I123" s="59"/>
    </row>
    <row r="124" ht="15.75" customHeight="1">
      <c r="C124" s="58"/>
      <c r="F124" s="59"/>
      <c r="G124" s="59"/>
      <c r="H124" s="59"/>
      <c r="I124" s="59"/>
    </row>
    <row r="125" ht="15.75" customHeight="1">
      <c r="C125" s="58"/>
      <c r="F125" s="59"/>
      <c r="G125" s="59"/>
      <c r="H125" s="59"/>
      <c r="I125" s="59"/>
    </row>
    <row r="126" ht="15.75" customHeight="1">
      <c r="C126" s="58"/>
      <c r="F126" s="59"/>
      <c r="G126" s="59"/>
      <c r="H126" s="59"/>
      <c r="I126" s="59"/>
    </row>
    <row r="127" ht="15.75" customHeight="1">
      <c r="C127" s="58"/>
      <c r="F127" s="59"/>
      <c r="G127" s="59"/>
      <c r="H127" s="59"/>
      <c r="I127" s="59"/>
    </row>
    <row r="128" ht="15.75" customHeight="1">
      <c r="C128" s="58"/>
      <c r="F128" s="59"/>
      <c r="G128" s="59"/>
      <c r="H128" s="59"/>
      <c r="I128" s="59"/>
    </row>
    <row r="129" ht="15.75" customHeight="1">
      <c r="C129" s="58"/>
      <c r="F129" s="59"/>
      <c r="G129" s="59"/>
      <c r="H129" s="59"/>
      <c r="I129" s="59"/>
    </row>
    <row r="130" ht="15.75" customHeight="1">
      <c r="C130" s="58"/>
      <c r="F130" s="59"/>
      <c r="G130" s="59"/>
      <c r="H130" s="59"/>
      <c r="I130" s="59"/>
    </row>
    <row r="131" ht="15.75" customHeight="1">
      <c r="C131" s="58"/>
      <c r="F131" s="59"/>
      <c r="G131" s="59"/>
      <c r="H131" s="59"/>
      <c r="I131" s="59"/>
    </row>
    <row r="132" ht="15.75" customHeight="1">
      <c r="C132" s="58"/>
      <c r="F132" s="59"/>
      <c r="G132" s="59"/>
      <c r="H132" s="59"/>
      <c r="I132" s="59"/>
    </row>
    <row r="133" ht="15.75" customHeight="1">
      <c r="C133" s="58"/>
      <c r="F133" s="59"/>
      <c r="G133" s="59"/>
      <c r="H133" s="59"/>
      <c r="I133" s="59"/>
    </row>
    <row r="134" ht="15.75" customHeight="1">
      <c r="C134" s="58"/>
      <c r="F134" s="59"/>
      <c r="G134" s="59"/>
      <c r="H134" s="59"/>
      <c r="I134" s="59"/>
    </row>
    <row r="135" ht="15.75" customHeight="1">
      <c r="C135" s="58"/>
      <c r="F135" s="59"/>
      <c r="G135" s="59"/>
      <c r="H135" s="59"/>
      <c r="I135" s="59"/>
    </row>
    <row r="136" ht="15.75" customHeight="1">
      <c r="C136" s="58"/>
      <c r="F136" s="59"/>
      <c r="G136" s="59"/>
      <c r="H136" s="59"/>
      <c r="I136" s="59"/>
    </row>
    <row r="137" ht="15.75" customHeight="1">
      <c r="C137" s="58"/>
      <c r="F137" s="59"/>
      <c r="G137" s="59"/>
      <c r="H137" s="59"/>
      <c r="I137" s="59"/>
    </row>
    <row r="138" ht="15.75" customHeight="1">
      <c r="C138" s="58"/>
      <c r="F138" s="59"/>
      <c r="G138" s="59"/>
      <c r="H138" s="59"/>
      <c r="I138" s="59"/>
    </row>
    <row r="139" ht="15.75" customHeight="1">
      <c r="C139" s="58"/>
      <c r="F139" s="59"/>
      <c r="G139" s="59"/>
      <c r="H139" s="59"/>
      <c r="I139" s="59"/>
    </row>
    <row r="140" ht="15.75" customHeight="1">
      <c r="C140" s="58"/>
      <c r="F140" s="59"/>
      <c r="G140" s="59"/>
      <c r="H140" s="59"/>
      <c r="I140" s="59"/>
    </row>
    <row r="141" ht="15.75" customHeight="1">
      <c r="C141" s="58"/>
      <c r="F141" s="59"/>
      <c r="G141" s="59"/>
      <c r="H141" s="59"/>
      <c r="I141" s="59"/>
    </row>
    <row r="142" ht="15.75" customHeight="1">
      <c r="C142" s="58"/>
      <c r="F142" s="59"/>
      <c r="G142" s="59"/>
      <c r="H142" s="59"/>
      <c r="I142" s="59"/>
    </row>
    <row r="143" ht="15.75" customHeight="1">
      <c r="C143" s="58"/>
      <c r="F143" s="59"/>
      <c r="G143" s="59"/>
      <c r="H143" s="59"/>
      <c r="I143" s="59"/>
    </row>
    <row r="144" ht="15.75" customHeight="1">
      <c r="C144" s="58"/>
      <c r="F144" s="59"/>
      <c r="G144" s="59"/>
      <c r="H144" s="59"/>
      <c r="I144" s="59"/>
    </row>
    <row r="145" ht="15.75" customHeight="1">
      <c r="C145" s="58"/>
      <c r="F145" s="59"/>
      <c r="G145" s="59"/>
      <c r="H145" s="59"/>
      <c r="I145" s="59"/>
    </row>
    <row r="146" ht="15.75" customHeight="1">
      <c r="C146" s="58"/>
      <c r="F146" s="59"/>
      <c r="G146" s="59"/>
      <c r="H146" s="59"/>
      <c r="I146" s="59"/>
    </row>
    <row r="147" ht="15.75" customHeight="1">
      <c r="C147" s="58"/>
      <c r="F147" s="59"/>
      <c r="G147" s="59"/>
      <c r="H147" s="59"/>
      <c r="I147" s="59"/>
    </row>
    <row r="148" ht="15.75" customHeight="1">
      <c r="C148" s="58"/>
      <c r="F148" s="59"/>
      <c r="G148" s="59"/>
      <c r="H148" s="59"/>
      <c r="I148" s="59"/>
    </row>
    <row r="149" ht="15.75" customHeight="1">
      <c r="C149" s="58"/>
      <c r="F149" s="59"/>
      <c r="G149" s="59"/>
      <c r="H149" s="59"/>
      <c r="I149" s="59"/>
    </row>
    <row r="150" ht="15.75" customHeight="1">
      <c r="C150" s="58"/>
      <c r="F150" s="59"/>
      <c r="G150" s="59"/>
      <c r="H150" s="59"/>
      <c r="I150" s="59"/>
    </row>
    <row r="151" ht="15.75" customHeight="1">
      <c r="C151" s="58"/>
      <c r="F151" s="59"/>
      <c r="G151" s="59"/>
      <c r="H151" s="59"/>
      <c r="I151" s="59"/>
    </row>
    <row r="152" ht="15.75" customHeight="1">
      <c r="C152" s="58"/>
      <c r="F152" s="59"/>
      <c r="G152" s="59"/>
      <c r="H152" s="59"/>
      <c r="I152" s="59"/>
    </row>
    <row r="153" ht="15.75" customHeight="1">
      <c r="C153" s="58"/>
      <c r="F153" s="59"/>
      <c r="G153" s="59"/>
      <c r="H153" s="59"/>
      <c r="I153" s="59"/>
    </row>
    <row r="154" ht="15.75" customHeight="1">
      <c r="C154" s="58"/>
      <c r="F154" s="59"/>
      <c r="G154" s="59"/>
      <c r="H154" s="59"/>
      <c r="I154" s="59"/>
    </row>
    <row r="155" ht="15.75" customHeight="1">
      <c r="C155" s="58"/>
      <c r="F155" s="59"/>
      <c r="G155" s="59"/>
      <c r="H155" s="59"/>
      <c r="I155" s="59"/>
    </row>
    <row r="156" ht="15.75" customHeight="1">
      <c r="C156" s="58"/>
      <c r="F156" s="59"/>
      <c r="G156" s="59"/>
      <c r="H156" s="59"/>
      <c r="I156" s="59"/>
    </row>
    <row r="157" ht="15.75" customHeight="1">
      <c r="C157" s="58"/>
      <c r="F157" s="59"/>
      <c r="G157" s="59"/>
      <c r="H157" s="59"/>
      <c r="I157" s="59"/>
    </row>
    <row r="158" ht="15.75" customHeight="1">
      <c r="C158" s="58"/>
      <c r="F158" s="59"/>
      <c r="G158" s="59"/>
      <c r="H158" s="59"/>
      <c r="I158" s="59"/>
    </row>
    <row r="159" ht="15.75" customHeight="1">
      <c r="C159" s="58"/>
      <c r="F159" s="59"/>
      <c r="G159" s="59"/>
      <c r="H159" s="59"/>
      <c r="I159" s="59"/>
    </row>
    <row r="160" ht="15.75" customHeight="1">
      <c r="C160" s="58"/>
      <c r="F160" s="59"/>
      <c r="G160" s="59"/>
      <c r="H160" s="59"/>
      <c r="I160" s="59"/>
    </row>
    <row r="161" ht="15.75" customHeight="1">
      <c r="C161" s="58"/>
      <c r="F161" s="59"/>
      <c r="G161" s="59"/>
      <c r="H161" s="59"/>
      <c r="I161" s="59"/>
    </row>
    <row r="162" ht="15.75" customHeight="1">
      <c r="C162" s="58"/>
      <c r="F162" s="59"/>
      <c r="G162" s="59"/>
      <c r="H162" s="59"/>
      <c r="I162" s="59"/>
    </row>
    <row r="163" ht="15.75" customHeight="1">
      <c r="C163" s="58"/>
      <c r="F163" s="59"/>
      <c r="G163" s="59"/>
      <c r="H163" s="59"/>
      <c r="I163" s="59"/>
    </row>
    <row r="164" ht="15.75" customHeight="1">
      <c r="C164" s="58"/>
      <c r="F164" s="59"/>
      <c r="G164" s="59"/>
      <c r="H164" s="59"/>
      <c r="I164" s="59"/>
    </row>
    <row r="165" ht="15.75" customHeight="1">
      <c r="C165" s="58"/>
      <c r="F165" s="59"/>
      <c r="G165" s="59"/>
      <c r="H165" s="59"/>
      <c r="I165" s="59"/>
    </row>
    <row r="166" ht="15.75" customHeight="1">
      <c r="C166" s="58"/>
      <c r="F166" s="59"/>
      <c r="G166" s="59"/>
      <c r="H166" s="59"/>
      <c r="I166" s="59"/>
    </row>
    <row r="167" ht="15.75" customHeight="1">
      <c r="C167" s="58"/>
      <c r="F167" s="59"/>
      <c r="G167" s="59"/>
      <c r="H167" s="59"/>
      <c r="I167" s="59"/>
    </row>
    <row r="168" ht="15.75" customHeight="1">
      <c r="C168" s="58"/>
      <c r="F168" s="59"/>
      <c r="G168" s="59"/>
      <c r="H168" s="59"/>
      <c r="I168" s="59"/>
    </row>
    <row r="169" ht="15.75" customHeight="1">
      <c r="C169" s="58"/>
      <c r="F169" s="59"/>
      <c r="G169" s="59"/>
      <c r="H169" s="59"/>
      <c r="I169" s="59"/>
    </row>
    <row r="170" ht="15.75" customHeight="1">
      <c r="C170" s="58"/>
      <c r="F170" s="59"/>
      <c r="G170" s="59"/>
      <c r="H170" s="59"/>
      <c r="I170" s="59"/>
    </row>
    <row r="171" ht="15.75" customHeight="1">
      <c r="C171" s="58"/>
      <c r="F171" s="59"/>
      <c r="G171" s="59"/>
      <c r="H171" s="59"/>
      <c r="I171" s="59"/>
    </row>
    <row r="172" ht="15.75" customHeight="1">
      <c r="C172" s="58"/>
      <c r="F172" s="59"/>
      <c r="G172" s="59"/>
      <c r="H172" s="59"/>
      <c r="I172" s="59"/>
    </row>
    <row r="173" ht="15.75" customHeight="1">
      <c r="C173" s="58"/>
      <c r="F173" s="59"/>
      <c r="G173" s="59"/>
      <c r="H173" s="59"/>
      <c r="I173" s="59"/>
    </row>
    <row r="174" ht="15.75" customHeight="1">
      <c r="C174" s="58"/>
      <c r="F174" s="59"/>
      <c r="G174" s="59"/>
      <c r="H174" s="59"/>
      <c r="I174" s="59"/>
    </row>
    <row r="175" ht="15.75" customHeight="1">
      <c r="C175" s="58"/>
      <c r="F175" s="59"/>
      <c r="G175" s="59"/>
      <c r="H175" s="59"/>
      <c r="I175" s="59"/>
    </row>
    <row r="176" ht="15.75" customHeight="1">
      <c r="C176" s="58"/>
      <c r="F176" s="59"/>
      <c r="G176" s="59"/>
      <c r="H176" s="59"/>
      <c r="I176" s="59"/>
    </row>
    <row r="177" ht="15.75" customHeight="1">
      <c r="C177" s="58"/>
      <c r="F177" s="59"/>
      <c r="G177" s="59"/>
      <c r="H177" s="59"/>
      <c r="I177" s="59"/>
    </row>
    <row r="178" ht="15.75" customHeight="1">
      <c r="C178" s="58"/>
      <c r="F178" s="59"/>
      <c r="G178" s="59"/>
      <c r="H178" s="59"/>
      <c r="I178" s="59"/>
    </row>
    <row r="179" ht="15.75" customHeight="1">
      <c r="C179" s="58"/>
      <c r="F179" s="59"/>
      <c r="G179" s="59"/>
      <c r="H179" s="59"/>
      <c r="I179" s="59"/>
    </row>
    <row r="180" ht="15.75" customHeight="1">
      <c r="C180" s="58"/>
      <c r="F180" s="59"/>
      <c r="G180" s="59"/>
      <c r="H180" s="59"/>
      <c r="I180" s="59"/>
    </row>
    <row r="181" ht="15.75" customHeight="1">
      <c r="C181" s="58"/>
      <c r="F181" s="59"/>
      <c r="G181" s="59"/>
      <c r="H181" s="59"/>
      <c r="I181" s="59"/>
    </row>
    <row r="182" ht="15.75" customHeight="1">
      <c r="C182" s="58"/>
      <c r="F182" s="59"/>
      <c r="G182" s="59"/>
      <c r="H182" s="59"/>
      <c r="I182" s="59"/>
    </row>
    <row r="183" ht="15.75" customHeight="1">
      <c r="C183" s="58"/>
      <c r="F183" s="59"/>
      <c r="G183" s="59"/>
      <c r="H183" s="59"/>
      <c r="I183" s="59"/>
    </row>
    <row r="184" ht="15.75" customHeight="1">
      <c r="C184" s="58"/>
      <c r="F184" s="59"/>
      <c r="G184" s="59"/>
      <c r="H184" s="59"/>
      <c r="I184" s="59"/>
    </row>
    <row r="185" ht="15.75" customHeight="1">
      <c r="C185" s="58"/>
      <c r="F185" s="59"/>
      <c r="G185" s="59"/>
      <c r="H185" s="59"/>
      <c r="I185" s="59"/>
    </row>
    <row r="186" ht="15.75" customHeight="1">
      <c r="C186" s="58"/>
      <c r="F186" s="59"/>
      <c r="G186" s="59"/>
      <c r="H186" s="59"/>
      <c r="I186" s="59"/>
    </row>
    <row r="187" ht="15.75" customHeight="1">
      <c r="C187" s="58"/>
      <c r="F187" s="59"/>
      <c r="G187" s="59"/>
      <c r="H187" s="59"/>
      <c r="I187" s="59"/>
    </row>
    <row r="188" ht="15.75" customHeight="1">
      <c r="C188" s="58"/>
      <c r="F188" s="59"/>
      <c r="G188" s="59"/>
      <c r="H188" s="59"/>
      <c r="I188" s="59"/>
    </row>
    <row r="189" ht="15.75" customHeight="1">
      <c r="C189" s="58"/>
      <c r="F189" s="59"/>
      <c r="G189" s="59"/>
      <c r="H189" s="59"/>
      <c r="I189" s="59"/>
    </row>
    <row r="190" ht="15.75" customHeight="1">
      <c r="C190" s="58"/>
      <c r="F190" s="59"/>
      <c r="G190" s="59"/>
      <c r="H190" s="59"/>
      <c r="I190" s="59"/>
    </row>
    <row r="191" ht="15.75" customHeight="1">
      <c r="C191" s="58"/>
      <c r="F191" s="59"/>
      <c r="G191" s="59"/>
      <c r="H191" s="59"/>
      <c r="I191" s="59"/>
    </row>
    <row r="192" ht="15.75" customHeight="1">
      <c r="C192" s="58"/>
      <c r="F192" s="59"/>
      <c r="G192" s="59"/>
      <c r="H192" s="59"/>
      <c r="I192" s="59"/>
    </row>
    <row r="193" ht="15.75" customHeight="1">
      <c r="C193" s="58"/>
      <c r="F193" s="59"/>
      <c r="G193" s="59"/>
      <c r="H193" s="59"/>
      <c r="I193" s="59"/>
    </row>
    <row r="194" ht="15.75" customHeight="1">
      <c r="C194" s="58"/>
      <c r="F194" s="59"/>
      <c r="G194" s="59"/>
      <c r="H194" s="59"/>
      <c r="I194" s="59"/>
    </row>
    <row r="195" ht="15.75" customHeight="1">
      <c r="C195" s="58"/>
      <c r="F195" s="59"/>
      <c r="G195" s="59"/>
      <c r="H195" s="59"/>
      <c r="I195" s="59"/>
    </row>
    <row r="196" ht="15.75" customHeight="1">
      <c r="C196" s="58"/>
      <c r="F196" s="59"/>
      <c r="G196" s="59"/>
      <c r="H196" s="59"/>
      <c r="I196" s="59"/>
    </row>
    <row r="197" ht="15.75" customHeight="1">
      <c r="C197" s="58"/>
      <c r="F197" s="59"/>
      <c r="G197" s="59"/>
      <c r="H197" s="59"/>
      <c r="I197" s="59"/>
    </row>
    <row r="198" ht="15.75" customHeight="1">
      <c r="C198" s="58"/>
      <c r="F198" s="59"/>
      <c r="G198" s="59"/>
      <c r="H198" s="59"/>
      <c r="I198" s="59"/>
    </row>
    <row r="199" ht="15.75" customHeight="1">
      <c r="C199" s="58"/>
      <c r="F199" s="59"/>
      <c r="G199" s="59"/>
      <c r="H199" s="59"/>
      <c r="I199" s="59"/>
    </row>
    <row r="200" ht="15.75" customHeight="1">
      <c r="C200" s="58"/>
      <c r="F200" s="59"/>
      <c r="G200" s="59"/>
      <c r="H200" s="59"/>
      <c r="I200" s="59"/>
    </row>
    <row r="201" ht="15.75" customHeight="1">
      <c r="C201" s="58"/>
      <c r="F201" s="59"/>
      <c r="G201" s="59"/>
      <c r="H201" s="59"/>
      <c r="I201" s="59"/>
    </row>
    <row r="202" ht="15.75" customHeight="1">
      <c r="C202" s="58"/>
      <c r="F202" s="59"/>
      <c r="G202" s="59"/>
      <c r="H202" s="59"/>
      <c r="I202" s="59"/>
    </row>
    <row r="203" ht="15.75" customHeight="1">
      <c r="C203" s="58"/>
      <c r="F203" s="59"/>
      <c r="G203" s="59"/>
      <c r="H203" s="59"/>
      <c r="I203" s="59"/>
    </row>
    <row r="204" ht="15.75" customHeight="1">
      <c r="C204" s="58"/>
      <c r="F204" s="59"/>
      <c r="G204" s="59"/>
      <c r="H204" s="59"/>
      <c r="I204" s="59"/>
    </row>
    <row r="205" ht="15.75" customHeight="1">
      <c r="C205" s="58"/>
      <c r="F205" s="59"/>
      <c r="G205" s="59"/>
      <c r="H205" s="59"/>
      <c r="I205" s="59"/>
    </row>
    <row r="206" ht="15.75" customHeight="1">
      <c r="C206" s="58"/>
      <c r="F206" s="59"/>
      <c r="G206" s="59"/>
      <c r="H206" s="59"/>
      <c r="I206" s="59"/>
    </row>
    <row r="207" ht="15.75" customHeight="1">
      <c r="C207" s="58"/>
      <c r="F207" s="59"/>
      <c r="G207" s="59"/>
      <c r="H207" s="59"/>
      <c r="I207" s="59"/>
    </row>
    <row r="208" ht="15.75" customHeight="1">
      <c r="C208" s="58"/>
      <c r="F208" s="59"/>
      <c r="G208" s="59"/>
      <c r="H208" s="59"/>
      <c r="I208" s="59"/>
    </row>
    <row r="209" ht="15.75" customHeight="1">
      <c r="C209" s="58"/>
      <c r="F209" s="59"/>
      <c r="G209" s="59"/>
      <c r="H209" s="59"/>
      <c r="I209" s="59"/>
    </row>
    <row r="210" ht="15.75" customHeight="1">
      <c r="C210" s="58"/>
      <c r="F210" s="59"/>
      <c r="G210" s="59"/>
      <c r="H210" s="59"/>
      <c r="I210" s="59"/>
    </row>
    <row r="211" ht="15.75" customHeight="1">
      <c r="C211" s="58"/>
      <c r="F211" s="59"/>
      <c r="G211" s="59"/>
      <c r="H211" s="59"/>
      <c r="I211" s="59"/>
    </row>
    <row r="212" ht="15.75" customHeight="1">
      <c r="C212" s="58"/>
      <c r="F212" s="59"/>
      <c r="G212" s="59"/>
      <c r="H212" s="59"/>
      <c r="I212" s="59"/>
    </row>
    <row r="213" ht="15.75" customHeight="1">
      <c r="C213" s="58"/>
      <c r="F213" s="59"/>
      <c r="G213" s="59"/>
      <c r="H213" s="59"/>
      <c r="I213" s="59"/>
    </row>
    <row r="214" ht="15.75" customHeight="1">
      <c r="C214" s="58"/>
      <c r="F214" s="59"/>
      <c r="G214" s="59"/>
      <c r="H214" s="59"/>
      <c r="I214" s="59"/>
    </row>
    <row r="215" ht="15.75" customHeight="1">
      <c r="C215" s="58"/>
      <c r="F215" s="59"/>
      <c r="G215" s="59"/>
      <c r="H215" s="59"/>
      <c r="I215" s="59"/>
    </row>
    <row r="216" ht="15.75" customHeight="1">
      <c r="C216" s="58"/>
      <c r="F216" s="59"/>
      <c r="G216" s="59"/>
      <c r="H216" s="59"/>
      <c r="I216" s="59"/>
    </row>
    <row r="217" ht="15.75" customHeight="1">
      <c r="C217" s="58"/>
      <c r="F217" s="59"/>
      <c r="G217" s="59"/>
      <c r="H217" s="59"/>
      <c r="I217" s="59"/>
    </row>
    <row r="218" ht="15.75" customHeight="1">
      <c r="C218" s="58"/>
      <c r="F218" s="59"/>
      <c r="G218" s="59"/>
      <c r="H218" s="59"/>
      <c r="I218" s="59"/>
    </row>
    <row r="219" ht="15.75" customHeight="1">
      <c r="C219" s="58"/>
      <c r="F219" s="59"/>
      <c r="G219" s="59"/>
      <c r="H219" s="59"/>
      <c r="I219" s="59"/>
    </row>
    <row r="220" ht="15.75" customHeight="1">
      <c r="C220" s="58"/>
      <c r="F220" s="59"/>
      <c r="G220" s="59"/>
      <c r="H220" s="59"/>
      <c r="I220" s="59"/>
    </row>
    <row r="221" ht="15.75" customHeight="1">
      <c r="C221" s="58"/>
      <c r="F221" s="59"/>
      <c r="G221" s="59"/>
      <c r="H221" s="59"/>
      <c r="I221" s="59"/>
    </row>
    <row r="222" ht="15.75" customHeight="1">
      <c r="C222" s="58"/>
      <c r="F222" s="59"/>
      <c r="G222" s="59"/>
      <c r="H222" s="59"/>
      <c r="I222" s="59"/>
    </row>
    <row r="223" ht="15.75" customHeight="1">
      <c r="C223" s="58"/>
      <c r="F223" s="59"/>
      <c r="G223" s="59"/>
      <c r="H223" s="59"/>
      <c r="I223" s="59"/>
    </row>
    <row r="224" ht="15.75" customHeight="1">
      <c r="C224" s="58"/>
      <c r="F224" s="59"/>
      <c r="G224" s="59"/>
      <c r="H224" s="59"/>
      <c r="I224" s="59"/>
    </row>
    <row r="225" ht="15.75" customHeight="1">
      <c r="C225" s="58"/>
      <c r="F225" s="59"/>
      <c r="G225" s="59"/>
      <c r="H225" s="59"/>
      <c r="I225" s="59"/>
    </row>
    <row r="226" ht="15.75" customHeight="1">
      <c r="C226" s="58"/>
      <c r="F226" s="59"/>
      <c r="G226" s="59"/>
      <c r="H226" s="59"/>
      <c r="I226" s="59"/>
    </row>
    <row r="227" ht="15.75" customHeight="1">
      <c r="C227" s="58"/>
      <c r="F227" s="59"/>
      <c r="G227" s="59"/>
      <c r="H227" s="59"/>
      <c r="I227" s="59"/>
    </row>
    <row r="228" ht="15.75" customHeight="1">
      <c r="C228" s="58"/>
      <c r="F228" s="59"/>
      <c r="G228" s="59"/>
      <c r="H228" s="59"/>
      <c r="I228" s="59"/>
    </row>
    <row r="229" ht="15.75" customHeight="1">
      <c r="C229" s="58"/>
      <c r="F229" s="59"/>
      <c r="G229" s="59"/>
      <c r="H229" s="59"/>
      <c r="I229" s="59"/>
    </row>
    <row r="230" ht="15.75" customHeight="1">
      <c r="C230" s="58"/>
      <c r="F230" s="59"/>
      <c r="G230" s="59"/>
      <c r="H230" s="59"/>
      <c r="I230" s="59"/>
    </row>
    <row r="231" ht="15.75" customHeight="1">
      <c r="C231" s="58"/>
      <c r="F231" s="59"/>
      <c r="G231" s="59"/>
      <c r="H231" s="59"/>
      <c r="I231" s="59"/>
    </row>
    <row r="232" ht="15.75" customHeight="1">
      <c r="C232" s="58"/>
      <c r="F232" s="59"/>
      <c r="G232" s="59"/>
      <c r="H232" s="59"/>
      <c r="I232" s="59"/>
    </row>
    <row r="233" ht="15.75" customHeight="1">
      <c r="C233" s="58"/>
      <c r="F233" s="59"/>
      <c r="G233" s="59"/>
      <c r="H233" s="59"/>
      <c r="I233" s="59"/>
    </row>
    <row r="234" ht="15.75" customHeight="1">
      <c r="C234" s="58"/>
      <c r="F234" s="59"/>
      <c r="G234" s="59"/>
      <c r="H234" s="59"/>
      <c r="I234" s="59"/>
    </row>
    <row r="235" ht="15.75" customHeight="1">
      <c r="C235" s="58"/>
      <c r="F235" s="59"/>
      <c r="G235" s="59"/>
      <c r="H235" s="59"/>
      <c r="I235" s="59"/>
    </row>
    <row r="236" ht="15.75" customHeight="1">
      <c r="C236" s="58"/>
      <c r="F236" s="59"/>
      <c r="G236" s="59"/>
      <c r="H236" s="59"/>
      <c r="I236" s="59"/>
    </row>
    <row r="237" ht="15.75" customHeight="1">
      <c r="C237" s="58"/>
      <c r="F237" s="59"/>
      <c r="G237" s="59"/>
      <c r="H237" s="59"/>
      <c r="I237" s="59"/>
    </row>
    <row r="238" ht="15.75" customHeight="1">
      <c r="C238" s="58"/>
      <c r="F238" s="59"/>
      <c r="G238" s="59"/>
      <c r="H238" s="59"/>
      <c r="I238" s="59"/>
    </row>
    <row r="239" ht="15.75" customHeight="1">
      <c r="C239" s="58"/>
      <c r="F239" s="59"/>
      <c r="G239" s="59"/>
      <c r="H239" s="59"/>
      <c r="I239" s="59"/>
    </row>
    <row r="240" ht="15.75" customHeight="1">
      <c r="C240" s="58"/>
      <c r="F240" s="59"/>
      <c r="G240" s="59"/>
      <c r="H240" s="59"/>
      <c r="I240" s="59"/>
    </row>
    <row r="241" ht="15.75" customHeight="1">
      <c r="C241" s="58"/>
      <c r="F241" s="59"/>
      <c r="G241" s="59"/>
      <c r="H241" s="59"/>
      <c r="I241" s="59"/>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sheetData>
  <mergeCells count="1">
    <mergeCell ref="L1:Q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6.5"/>
    <col customWidth="1" min="3" max="6" width="12.63"/>
  </cols>
  <sheetData>
    <row r="1" ht="15.75" customHeight="1">
      <c r="A1" s="62" t="s">
        <v>255</v>
      </c>
      <c r="B1" s="63"/>
      <c r="C1" s="63"/>
      <c r="D1" s="63"/>
      <c r="E1" s="63"/>
      <c r="F1" s="63"/>
      <c r="G1" s="63"/>
      <c r="H1" s="63"/>
      <c r="I1" s="63"/>
      <c r="J1" s="63"/>
      <c r="K1" s="64"/>
    </row>
    <row r="2" ht="15.75" customHeight="1">
      <c r="A2" s="65" t="s">
        <v>256</v>
      </c>
      <c r="B2" s="66"/>
      <c r="C2" s="67" t="s">
        <v>257</v>
      </c>
      <c r="D2" s="2"/>
      <c r="E2" s="66"/>
      <c r="F2" s="68" t="s">
        <v>258</v>
      </c>
      <c r="G2" s="66"/>
      <c r="H2" s="67" t="s">
        <v>259</v>
      </c>
      <c r="I2" s="2"/>
      <c r="J2" s="2"/>
      <c r="K2" s="66"/>
    </row>
    <row r="3" ht="15.75" customHeight="1">
      <c r="A3" s="65" t="s">
        <v>260</v>
      </c>
      <c r="B3" s="66"/>
      <c r="C3" s="67" t="s">
        <v>261</v>
      </c>
      <c r="D3" s="2"/>
      <c r="E3" s="66"/>
      <c r="F3" s="68" t="s">
        <v>262</v>
      </c>
      <c r="G3" s="66"/>
      <c r="H3" s="67" t="s">
        <v>263</v>
      </c>
      <c r="I3" s="2"/>
      <c r="J3" s="2"/>
      <c r="K3" s="66"/>
    </row>
    <row r="4" ht="15.75" customHeight="1">
      <c r="A4" s="69" t="s">
        <v>264</v>
      </c>
      <c r="B4" s="66"/>
      <c r="C4" s="70"/>
      <c r="D4" s="2"/>
      <c r="E4" s="2"/>
      <c r="F4" s="2"/>
      <c r="G4" s="2"/>
      <c r="H4" s="2"/>
      <c r="I4" s="2"/>
      <c r="J4" s="2"/>
      <c r="K4" s="66"/>
    </row>
    <row r="5" ht="15.75" customHeight="1">
      <c r="A5" s="71"/>
      <c r="B5" s="72" t="s">
        <v>265</v>
      </c>
      <c r="C5" s="73" t="str">
        <f>D12/J12</f>
        <v>#DIV/0!</v>
      </c>
      <c r="D5" s="71"/>
      <c r="E5" s="71"/>
      <c r="F5" s="71"/>
      <c r="G5" s="71"/>
      <c r="H5" s="71"/>
      <c r="I5" s="71"/>
      <c r="J5" s="71"/>
      <c r="K5" s="71"/>
    </row>
    <row r="6" ht="15.75" customHeight="1">
      <c r="A6" s="71"/>
      <c r="B6" s="74" t="s">
        <v>266</v>
      </c>
      <c r="C6" s="73" t="str">
        <f>E12/J12</f>
        <v>#DIV/0!</v>
      </c>
      <c r="D6" s="71"/>
      <c r="E6" s="71"/>
      <c r="F6" s="71"/>
      <c r="G6" s="71"/>
      <c r="H6" s="71"/>
      <c r="I6" s="71"/>
      <c r="J6" s="75" t="s">
        <v>267</v>
      </c>
      <c r="K6" s="76" t="s">
        <v>268</v>
      </c>
    </row>
    <row r="7" ht="15.75" customHeight="1">
      <c r="A7" s="71"/>
      <c r="B7" s="77"/>
      <c r="C7" s="71"/>
      <c r="D7" s="71"/>
      <c r="E7" s="71"/>
      <c r="F7" s="71"/>
      <c r="G7" s="71"/>
      <c r="H7" s="71"/>
      <c r="I7" s="71"/>
      <c r="J7" s="71"/>
      <c r="K7" s="71"/>
    </row>
    <row r="8" ht="15.75" customHeight="1">
      <c r="A8" s="36" t="s">
        <v>1</v>
      </c>
      <c r="B8" s="36" t="s">
        <v>269</v>
      </c>
      <c r="C8" s="36" t="s">
        <v>270</v>
      </c>
      <c r="D8" s="36" t="s">
        <v>271</v>
      </c>
      <c r="E8" s="36" t="s">
        <v>55</v>
      </c>
      <c r="F8" s="36" t="s">
        <v>135</v>
      </c>
      <c r="G8" s="36" t="s">
        <v>272</v>
      </c>
      <c r="H8" s="36" t="s">
        <v>252</v>
      </c>
      <c r="I8" s="36" t="s">
        <v>273</v>
      </c>
      <c r="J8" s="36" t="s">
        <v>11</v>
      </c>
      <c r="K8" s="36" t="s">
        <v>274</v>
      </c>
    </row>
    <row r="9" ht="15.75" customHeight="1">
      <c r="A9" s="78">
        <v>1.0</v>
      </c>
      <c r="B9" s="78" t="str">
        <f>'Requirement List'!B2</f>
        <v>R001</v>
      </c>
      <c r="C9" s="79" t="str">
        <f>'Requirement List'!C2</f>
        <v/>
      </c>
      <c r="D9" s="78">
        <f>SUM('Test Summary Report'!$E9:$G9)</f>
        <v>0</v>
      </c>
      <c r="E9" s="78">
        <f>COUNTIFS('Test Cases'!$D:$D,'Test Summary Report'!$C9,'Test Cases'!$M:$M,'Test Summary Report'!E$8)</f>
        <v>0</v>
      </c>
      <c r="F9" s="78">
        <f>COUNTIFS('Test Cases'!$D:$D,'Test Summary Report'!$C9,'Test Cases'!$M:$M,'Test Summary Report'!F$8)</f>
        <v>0</v>
      </c>
      <c r="G9" s="78">
        <f>COUNTIFS('Test Cases'!$D:$D,'Test Summary Report'!$C9,'Test Cases'!$M:$M,'Test Summary Report'!G$8)</f>
        <v>0</v>
      </c>
      <c r="H9" s="78">
        <f>COUNTIFS('Test Cases'!$D:$D,'Test Summary Report'!$C9,'Test Cases'!$M:$M,'Test Summary Report'!H$8)</f>
        <v>0</v>
      </c>
      <c r="I9" s="78">
        <f>COUNTIFS('Test Cases'!$D:$D,'Test Summary Report'!$C9)-sum(D9,H9)</f>
        <v>0</v>
      </c>
      <c r="J9" s="80">
        <f>SUM('Test Summary Report'!$E9:$I9)</f>
        <v>0</v>
      </c>
      <c r="K9" s="81" t="str">
        <f>'Test Summary Report'!$D9/'Test Summary Report'!$J9</f>
        <v>#DIV/0!</v>
      </c>
    </row>
    <row r="10" ht="15.75" customHeight="1">
      <c r="A10" s="82">
        <v>2.0</v>
      </c>
      <c r="B10" s="82" t="str">
        <f t="shared" ref="B10:C10" si="1">#REF!</f>
        <v>#REF!</v>
      </c>
      <c r="C10" s="83" t="str">
        <f t="shared" si="1"/>
        <v>#REF!</v>
      </c>
      <c r="D10" s="82">
        <f>SUM('Test Summary Report'!$E10:$G10)</f>
        <v>0</v>
      </c>
      <c r="E10" s="82">
        <f>COUNTIFS('Test Cases'!$D:$D,'Test Summary Report'!$C10,'Test Cases'!$M:$M,'Test Summary Report'!E$8)</f>
        <v>0</v>
      </c>
      <c r="F10" s="82">
        <f>COUNTIFS('Test Cases'!$D:$D,'Test Summary Report'!$C10,'Test Cases'!$M:$M,'Test Summary Report'!F$8)</f>
        <v>0</v>
      </c>
      <c r="G10" s="82">
        <f>COUNTIFS('Test Cases'!$D:$D,'Test Summary Report'!$C10,'Test Cases'!$M:$M,'Test Summary Report'!G$8)</f>
        <v>0</v>
      </c>
      <c r="H10" s="82">
        <f>COUNTIFS('Test Cases'!$D:$D,'Test Summary Report'!$C10,'Test Cases'!$M:$M,'Test Summary Report'!H$8)</f>
        <v>0</v>
      </c>
      <c r="I10" s="82">
        <f>COUNTIFS('Test Cases'!$D:$D,'Test Summary Report'!$C10)-sum(D10,H10)</f>
        <v>0</v>
      </c>
      <c r="J10" s="84">
        <f>SUM('Test Summary Report'!$E10:$I10)</f>
        <v>0</v>
      </c>
      <c r="K10" s="85" t="str">
        <f>'Test Summary Report'!$D10/'Test Summary Report'!$J10</f>
        <v>#DIV/0!</v>
      </c>
    </row>
    <row r="11" ht="15.75" customHeight="1">
      <c r="A11" s="78">
        <v>3.0</v>
      </c>
      <c r="B11" s="78" t="str">
        <f t="shared" ref="B11:C11" si="2">#REF!</f>
        <v>#REF!</v>
      </c>
      <c r="C11" s="79" t="str">
        <f t="shared" si="2"/>
        <v>#REF!</v>
      </c>
      <c r="D11" s="78">
        <f>SUM('Test Summary Report'!$E11:$G11)</f>
        <v>0</v>
      </c>
      <c r="E11" s="78">
        <f>COUNTIFS('Test Cases'!$D:$D,'Test Summary Report'!$C11,'Test Cases'!$M:$M,'Test Summary Report'!E$8)</f>
        <v>0</v>
      </c>
      <c r="F11" s="78">
        <f>COUNTIFS('Test Cases'!$D:$D,'Test Summary Report'!$C11,'Test Cases'!$M:$M,'Test Summary Report'!F$8)</f>
        <v>0</v>
      </c>
      <c r="G11" s="78">
        <f>COUNTIFS('Test Cases'!$D:$D,'Test Summary Report'!$C11,'Test Cases'!$M:$M,'Test Summary Report'!G$8)</f>
        <v>0</v>
      </c>
      <c r="H11" s="78">
        <f>COUNTIFS('Test Cases'!$D:$D,'Test Summary Report'!$C11,'Test Cases'!$M:$M,'Test Summary Report'!H$8)</f>
        <v>0</v>
      </c>
      <c r="I11" s="78">
        <f>COUNTIFS('Test Cases'!$D:$D,'Test Summary Report'!$C11)-sum(D11,H11)</f>
        <v>0</v>
      </c>
      <c r="J11" s="80">
        <f>SUM('Test Summary Report'!$E11:$I11)</f>
        <v>0</v>
      </c>
      <c r="K11" s="81" t="str">
        <f>'Test Summary Report'!$D11/'Test Summary Report'!$J11</f>
        <v>#DIV/0!</v>
      </c>
    </row>
    <row r="12" ht="15.75" customHeight="1">
      <c r="A12" s="28" t="s">
        <v>27</v>
      </c>
      <c r="B12" s="28"/>
      <c r="C12" s="13" t="s">
        <v>11</v>
      </c>
      <c r="D12" s="14">
        <f t="shared" ref="D12:J12" si="3">SUM(D9:D11)</f>
        <v>0</v>
      </c>
      <c r="E12" s="14">
        <f t="shared" si="3"/>
        <v>0</v>
      </c>
      <c r="F12" s="14">
        <f t="shared" si="3"/>
        <v>0</v>
      </c>
      <c r="G12" s="14">
        <f t="shared" si="3"/>
        <v>0</v>
      </c>
      <c r="H12" s="14">
        <f t="shared" si="3"/>
        <v>0</v>
      </c>
      <c r="I12" s="14">
        <f t="shared" si="3"/>
        <v>0</v>
      </c>
      <c r="J12" s="14">
        <f t="shared" si="3"/>
        <v>0</v>
      </c>
      <c r="K12" s="86" t="str">
        <f>C5</f>
        <v>#DIV/0!</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F3:G3"/>
    <mergeCell ref="H3:K3"/>
    <mergeCell ref="A4:B4"/>
    <mergeCell ref="C4:K4"/>
    <mergeCell ref="A1:K1"/>
    <mergeCell ref="A2:B2"/>
    <mergeCell ref="C2:E2"/>
    <mergeCell ref="F2:G2"/>
    <mergeCell ref="H2:K2"/>
    <mergeCell ref="A3:B3"/>
    <mergeCell ref="C3:E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13"/>
    <col customWidth="1" min="2" max="2" width="18.63"/>
    <col customWidth="1" min="3" max="6" width="12.63"/>
  </cols>
  <sheetData>
    <row r="1" ht="15.75" customHeight="1">
      <c r="A1" s="22" t="s">
        <v>275</v>
      </c>
      <c r="B1" s="87"/>
    </row>
    <row r="2" ht="15.75" customHeight="1">
      <c r="A2" s="88" t="s">
        <v>55</v>
      </c>
      <c r="B2" s="87" t="s">
        <v>276</v>
      </c>
    </row>
    <row r="3" ht="15.75" customHeight="1">
      <c r="A3" s="88" t="s">
        <v>135</v>
      </c>
      <c r="B3" s="87" t="s">
        <v>277</v>
      </c>
      <c r="C3" s="89" t="s">
        <v>278</v>
      </c>
    </row>
    <row r="4" ht="15.75" customHeight="1">
      <c r="A4" s="88" t="s">
        <v>272</v>
      </c>
      <c r="B4" s="87" t="s">
        <v>279</v>
      </c>
    </row>
    <row r="5" ht="15.75" customHeight="1">
      <c r="A5" s="88" t="s">
        <v>252</v>
      </c>
      <c r="B5" s="87" t="s">
        <v>280</v>
      </c>
    </row>
    <row r="6" ht="15.75" customHeight="1">
      <c r="A6" s="88" t="s">
        <v>273</v>
      </c>
      <c r="B6" s="87"/>
    </row>
    <row r="7" ht="15.75" customHeight="1">
      <c r="A7" s="87"/>
      <c r="B7" s="87"/>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