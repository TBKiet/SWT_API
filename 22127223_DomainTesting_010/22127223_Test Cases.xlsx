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Assessment" sheetId="1" r:id="rId4"/>
    <sheet state="visible" name="Requirement List" sheetId="2" r:id="rId5"/>
    <sheet state="visible" name="Test Types" sheetId="3" r:id="rId6"/>
    <sheet state="visible" name="Test Cases" sheetId="4" r:id="rId7"/>
    <sheet state="visible" name="Test Summary Report" sheetId="5" r:id="rId8"/>
    <sheet state="visible" name="Legend" sheetId="6" r:id="rId9"/>
  </sheets>
  <definedNames/>
  <calcPr/>
</workbook>
</file>

<file path=xl/sharedStrings.xml><?xml version="1.0" encoding="utf-8"?>
<sst xmlns="http://schemas.openxmlformats.org/spreadsheetml/2006/main" count="273" uniqueCount="156">
  <si>
    <t>Seft-Assessment</t>
  </si>
  <si>
    <t>No</t>
  </si>
  <si>
    <t>Criteria</t>
  </si>
  <si>
    <t>MAX Score</t>
  </si>
  <si>
    <t>Các TC của các thành viên trong nhóm không trùng nhau. Tên TC được viết ngắn gọn, rõ ràng, mô tả rõ cần kiểm tra gì và kết quả mong đợi. TC không được quá phức tạp (kiểm tra nhiều điều kiện cùng một lúc). Các bước thực hiện của TC được mô tả rõ ràng, có dữ liệu cụ thể. Số lượng TC của mỗi thành viên phụ thuộc vào số thành viên trong nhóm theo qui định,
Score = MIN(4, Number of TC/Hệ số thành viên)</t>
  </si>
  <si>
    <t>Các TC nên bao phủ tất cả các chức năng yêu cầu của website.
Score = MIN(2.5, Number of requirements * 0.5)</t>
  </si>
  <si>
    <t>Các TC nên phủ tối thiểu 5 loại kiểm thử như kiểm chức năng, kiểm giao diện &amp; tính tiện dụng, kiểm hiệu năng, kiểm bảo mật, kiểm tương thích.
Score = MIN(2.5, Number of Test Type * 0.5)</t>
  </si>
  <si>
    <t>Trình bày rõ ràng, đúng mẫu quy định</t>
  </si>
  <si>
    <t>Total</t>
  </si>
  <si>
    <t>Số thành viên trong nhóm:</t>
  </si>
  <si>
    <t>No.</t>
  </si>
  <si>
    <t>ID</t>
  </si>
  <si>
    <t>Requirement Name</t>
  </si>
  <si>
    <t>Details</t>
  </si>
  <si>
    <t>Remark</t>
  </si>
  <si>
    <t>Number of TCs</t>
  </si>
  <si>
    <t>R001</t>
  </si>
  <si>
    <t>Login</t>
  </si>
  <si>
    <t>R002</t>
  </si>
  <si>
    <t>Sign up</t>
  </si>
  <si>
    <t>&lt;&lt;&lt; Insert New Line above this line &gt;&gt;&gt;</t>
  </si>
  <si>
    <t>Test Type</t>
  </si>
  <si>
    <t>EP</t>
  </si>
  <si>
    <t>Equivalence Partitioning</t>
  </si>
  <si>
    <t>BVA</t>
  </si>
  <si>
    <t>Boundary Value Analysis</t>
  </si>
  <si>
    <t>Test Execution</t>
  </si>
  <si>
    <t>Test Case ID</t>
  </si>
  <si>
    <t>Test case name/Objective</t>
  </si>
  <si>
    <t>Precondition</t>
  </si>
  <si>
    <t>Test steps</t>
  </si>
  <si>
    <t>Test Data</t>
  </si>
  <si>
    <t>Expected Result</t>
  </si>
  <si>
    <t>Created By</t>
  </si>
  <si>
    <t>Actual Result</t>
  </si>
  <si>
    <t>Status</t>
  </si>
  <si>
    <t>Bug ID</t>
  </si>
  <si>
    <t>Tester</t>
  </si>
  <si>
    <t>Tested Date</t>
  </si>
  <si>
    <t>LOGIN-001</t>
  </si>
  <si>
    <t>Valid login with correct credentials</t>
  </si>
  <si>
    <t>User must be on the login or registration page</t>
  </si>
  <si>
    <t>1. Navigate to login/register page2. Input: email=user@example.com, password=CorrectPass1233. Submit form</t>
  </si>
  <si>
    <t>email=user@example.com, password=CorrectPass123</t>
  </si>
  <si>
    <t>Redirect to dashboard</t>
  </si>
  <si>
    <t>Redirected to dashboard</t>
  </si>
  <si>
    <t>Passed</t>
  </si>
  <si>
    <t>08-Jun-2025</t>
  </si>
  <si>
    <t>Test executed successfully</t>
  </si>
  <si>
    <t>LOGIN-002</t>
  </si>
  <si>
    <t>Empty email field</t>
  </si>
  <si>
    <t>1. Navigate to login/register page2. Input: email=, password=CorrectPass1233. Submit form</t>
  </si>
  <si>
    <t>email=, password=CorrectPass123</t>
  </si>
  <si>
    <t>Show email required error</t>
  </si>
  <si>
    <t>No error shown; submitted to backend</t>
  </si>
  <si>
    <t>Failed</t>
  </si>
  <si>
    <t>LOGIN-B001</t>
  </si>
  <si>
    <t>LOGIN-003</t>
  </si>
  <si>
    <t>Empty password field</t>
  </si>
  <si>
    <t>1. Navigate to login/register page2. Input: email=user@example.com, password=3. Submit form</t>
  </si>
  <si>
    <t>email=user@example.com, password=</t>
  </si>
  <si>
    <t>Show password required error</t>
  </si>
  <si>
    <t>LOGIN-B002</t>
  </si>
  <si>
    <t>LOGIN-004</t>
  </si>
  <si>
    <t>Invalid email format</t>
  </si>
  <si>
    <t>1. Navigate to login/register page2. Input: email=user@, password=CorrectPass1233. Submit form</t>
  </si>
  <si>
    <t>email=user@, password=CorrectPass123</t>
  </si>
  <si>
    <t>Show invalid email error</t>
  </si>
  <si>
    <t>Backend rejects request with invalid email message</t>
  </si>
  <si>
    <t>LOGIN-005</t>
  </si>
  <si>
    <t>Incorrect credentials</t>
  </si>
  <si>
    <t>1. Navigate to login/register page2. Input: email=wrong@example.com, password=WrongPass3. Submit form</t>
  </si>
  <si>
    <t>email=wrong@example.com, password=WrongPass</t>
  </si>
  <si>
    <t>Show login failed error</t>
  </si>
  <si>
    <t>Login failed message displayed</t>
  </si>
  <si>
    <t>LOGIN-006</t>
  </si>
  <si>
    <t>SQL injection attempt</t>
  </si>
  <si>
    <t>1. Navigate to login/register page2. Input: email=' OR 1=1 --, password=anything3. Submit form</t>
  </si>
  <si>
    <t>email=' OR 1=1 --, password=anything</t>
  </si>
  <si>
    <t>Reject login attempt</t>
  </si>
  <si>
    <t>Login accepted (BUG: SQLi bypass)</t>
  </si>
  <si>
    <t>LOGIN-B003</t>
  </si>
  <si>
    <t>SIGNUP-001</t>
  </si>
  <si>
    <t>Sign Up</t>
  </si>
  <si>
    <t>Valid registration data</t>
  </si>
  <si>
    <t>1. Navigate to login/register page2. Input: name=John Doe, email=john@example.com, password=StrongPass1, confirm=StrongPass13. Submit form</t>
  </si>
  <si>
    <t>name=John Doe, email=john@example.com, password=StrongPass1, confirm=StrongPass1</t>
  </si>
  <si>
    <t>Account created successfully</t>
  </si>
  <si>
    <t>SIGNUP-002</t>
  </si>
  <si>
    <t>Password mismatch</t>
  </si>
  <si>
    <t>1. Navigate to login/register page2. Input: name=John Doe, email=john@example.com, password=Pass123, confirm=Pass3213. Submit form</t>
  </si>
  <si>
    <t>name=John Doe, email=john@example.com, password=Pass123, confirm=Pass321</t>
  </si>
  <si>
    <t>Show password mismatch error</t>
  </si>
  <si>
    <t>Password mismatch error shown</t>
  </si>
  <si>
    <t>SIGNUP-003</t>
  </si>
  <si>
    <t>Short password</t>
  </si>
  <si>
    <t>1. Navigate to login/register page2. Input: name=John Doe, email=john@example.com, password=123, confirm=1233. Submit form</t>
  </si>
  <si>
    <t>name=John Doe, email=john@example.com, password=123, confirm=123</t>
  </si>
  <si>
    <t>Show password length error</t>
  </si>
  <si>
    <t>Password length error shown</t>
  </si>
  <si>
    <t>SIGNUP-004</t>
  </si>
  <si>
    <t>1. Navigate to login/register page2. Input: name=John Doe, email=john@, password=StrongPass1, confirm=StrongPass13. Submit form</t>
  </si>
  <si>
    <t>name=John Doe, email=john@, password=StrongPass1, confirm=StrongPass1</t>
  </si>
  <si>
    <t>Invalid email format error shown</t>
  </si>
  <si>
    <t>SIGNUP-005</t>
  </si>
  <si>
    <t>Name too short</t>
  </si>
  <si>
    <t>1. Navigate to login/register page2. Input: name=Al, email=al@example.com, password=StrongPass1, confirm=StrongPass13. Submit form</t>
  </si>
  <si>
    <t>name=Al, email=al@example.com, password=StrongPass1, confirm=StrongPass1</t>
  </si>
  <si>
    <t>Show name length error</t>
  </si>
  <si>
    <t>Name length error shown</t>
  </si>
  <si>
    <t>SIGNUP-006</t>
  </si>
  <si>
    <t>Boundary test for password length = 5</t>
  </si>
  <si>
    <t>1. Navigate to login/register page2. Input: name=Alice, email=alice@example.com, password=12345, confirm=123453. Submit form</t>
  </si>
  <si>
    <t>name=Alice, email=alice@example.com, password=12345, confirm=12345</t>
  </si>
  <si>
    <t>Show password too short error</t>
  </si>
  <si>
    <t>Password too short error shown</t>
  </si>
  <si>
    <t>SIGNUP-007</t>
  </si>
  <si>
    <t>Boundary test for password length = 6</t>
  </si>
  <si>
    <t>1. Navigate to login/register page2. Input: name=Alice, email=alice@example.com, password=123456, confirm=1234563. Submit form</t>
  </si>
  <si>
    <t>name=Alice, email=alice@example.com, password=123456, confirm=123456</t>
  </si>
  <si>
    <t>SIGNUP-008</t>
  </si>
  <si>
    <t>Boundary test for name length = 2</t>
  </si>
  <si>
    <t>1. Navigate to login/register page2. Input: name=Jo, email=jo@example.com, password=StrongPass1, confirm=StrongPass13. Submit form</t>
  </si>
  <si>
    <t>name=Jo, email=jo@example.com, password=StrongPass1, confirm=StrongPass1</t>
  </si>
  <si>
    <t>Show name too short error</t>
  </si>
  <si>
    <t>SIGNUP-009</t>
  </si>
  <si>
    <t>Boundary test for name length = 3</t>
  </si>
  <si>
    <t>1. Navigate to login/register page2. Input: name=Joe, email=joe@example.com, password=StrongPass1, confirm=StrongPass13. Submit form</t>
  </si>
  <si>
    <t>name=Joe, email=joe@example.com, password=StrongPass1, confirm=StrongPass1</t>
  </si>
  <si>
    <t>TEST SUMMARY REPORT</t>
  </si>
  <si>
    <t>Project Name</t>
  </si>
  <si>
    <t>&lt;Project Name&gt;</t>
  </si>
  <si>
    <t>Reviewer</t>
  </si>
  <si>
    <t>&lt;Reviewer&gt;</t>
  </si>
  <si>
    <t>Creator</t>
  </si>
  <si>
    <t>&lt;Creator&gt;</t>
  </si>
  <si>
    <t>Approver</t>
  </si>
  <si>
    <t>&lt;Approver&gt;</t>
  </si>
  <si>
    <t>Note</t>
  </si>
  <si>
    <t>Test Coverage:</t>
  </si>
  <si>
    <t>Successful Test Coverage:</t>
  </si>
  <si>
    <t>Date:</t>
  </si>
  <si>
    <t>&lt;yyyy/mm/dd&gt;</t>
  </si>
  <si>
    <t>Requirement ID</t>
  </si>
  <si>
    <t>Requirement name</t>
  </si>
  <si>
    <t>Tested</t>
  </si>
  <si>
    <t>Blocked</t>
  </si>
  <si>
    <t>Skipped</t>
  </si>
  <si>
    <t>Not Yet Tested</t>
  </si>
  <si>
    <t>Tested Coverage</t>
  </si>
  <si>
    <t>Test Case Status</t>
  </si>
  <si>
    <t>Expected = Actual</t>
  </si>
  <si>
    <t>Expected &lt;&gt; Actual</t>
  </si>
  <si>
    <t>=&gt; Bug ID</t>
  </si>
  <si>
    <t>Can not test</t>
  </si>
  <si>
    <t>Do not need to test now</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</si>
</sst>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7.0"/>
      <color theme="1"/>
      <name val="Arial"/>
    </font>
    <font/>
    <font>
      <b/>
      <color theme="1"/>
      <name val="Arial"/>
    </font>
    <font>
      <color theme="1"/>
      <name val="Arial"/>
    </font>
    <font>
      <color rgb="FFFF0000"/>
      <name val="Arial"/>
    </font>
    <font>
      <b/>
      <sz val="12.0"/>
      <color rgb="FFFF0000"/>
      <name val="Arial"/>
    </font>
    <font>
      <b/>
      <color rgb="FFFF0000"/>
      <name val="Arial"/>
    </font>
    <font>
      <b/>
      <color rgb="FF000000"/>
      <name val="Arial"/>
    </font>
    <font>
      <sz val="11.0"/>
      <color rgb="FF000000"/>
      <name val="Calibri"/>
    </font>
    <font>
      <b/>
      <sz val="14.0"/>
      <color theme="1"/>
      <name val="Calibri"/>
    </font>
    <font>
      <b/>
      <sz val="11.0"/>
      <color rgb="FF974806"/>
      <name val="Calibri"/>
    </font>
    <font>
      <sz val="11.0"/>
      <color theme="1"/>
      <name val="Calibri"/>
    </font>
    <font>
      <b/>
      <sz val="11.0"/>
      <color rgb="FF953734"/>
      <name val="Calibri"/>
    </font>
    <font>
      <b/>
      <i/>
      <sz val="11.0"/>
      <color theme="1"/>
      <name val="Calibri"/>
    </font>
    <font>
      <b/>
      <sz val="11.0"/>
      <color rgb="FF3366FF"/>
      <name val="Calibri"/>
    </font>
    <font>
      <i/>
      <sz val="11.0"/>
      <color theme="1"/>
      <name val="Calibri"/>
    </font>
    <font>
      <b/>
      <color rgb="FFFF9900"/>
      <name val="Arial"/>
    </font>
  </fonts>
  <fills count="9">
    <fill>
      <patternFill patternType="none"/>
    </fill>
    <fill>
      <patternFill patternType="lightGray"/>
    </fill>
    <fill>
      <patternFill patternType="solid">
        <fgColor rgb="FF99CCFF"/>
        <bgColor rgb="FF99CCFF"/>
      </patternFill>
    </fill>
    <fill>
      <patternFill patternType="solid">
        <fgColor rgb="FFC0C0C0"/>
        <bgColor rgb="FFC0C0C0"/>
      </patternFill>
    </fill>
    <fill>
      <patternFill patternType="solid">
        <fgColor rgb="FFCCFFFF"/>
        <bgColor rgb="FFCCFFFF"/>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EFEFEF"/>
        <bgColor rgb="FFEFEFEF"/>
      </patternFill>
    </fill>
  </fills>
  <borders count="10">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1" fillId="0" fontId="2" numFmtId="0" xfId="0" applyBorder="1" applyFont="1"/>
    <xf borderId="2" fillId="3" fontId="3" numFmtId="0" xfId="0" applyAlignment="1" applyBorder="1" applyFill="1" applyFont="1">
      <alignment horizontal="center" shrinkToFit="0" vertical="top" wrapText="1"/>
    </xf>
    <xf borderId="3" fillId="3" fontId="3" numFmtId="0" xfId="0" applyAlignment="1" applyBorder="1" applyFont="1">
      <alignment horizontal="center" shrinkToFit="0" vertical="top" wrapText="1"/>
    </xf>
    <xf borderId="3" fillId="3" fontId="3" numFmtId="0" xfId="0" applyAlignment="1" applyBorder="1" applyFont="1">
      <alignment horizontal="center" readingOrder="0" shrinkToFit="0" vertical="top" wrapText="1"/>
    </xf>
    <xf borderId="0" fillId="0" fontId="4" numFmtId="0" xfId="0" applyAlignment="1" applyFont="1">
      <alignment shrinkToFit="0" vertical="top" wrapText="1"/>
    </xf>
    <xf borderId="4" fillId="0" fontId="4" numFmtId="0" xfId="0" applyAlignment="1" applyBorder="1" applyFont="1">
      <alignment horizontal="right" shrinkToFit="0" vertical="center" wrapText="0"/>
    </xf>
    <xf borderId="2" fillId="0" fontId="4" numFmtId="0" xfId="0" applyAlignment="1" applyBorder="1" applyFont="1">
      <alignment shrinkToFit="0" wrapText="1"/>
    </xf>
    <xf borderId="5" fillId="0" fontId="4" numFmtId="0" xfId="0" applyAlignment="1" applyBorder="1" applyFont="1">
      <alignment horizontal="center" vertical="center"/>
    </xf>
    <xf borderId="5" fillId="0" fontId="5" numFmtId="2" xfId="0" applyAlignment="1" applyBorder="1" applyFont="1" applyNumberFormat="1">
      <alignment horizontal="center" shrinkToFit="0" vertical="center" wrapText="0"/>
    </xf>
    <xf borderId="0" fillId="0" fontId="4" numFmtId="0" xfId="0" applyAlignment="1" applyFont="1">
      <alignment vertical="center"/>
    </xf>
    <xf borderId="4" fillId="0" fontId="4" numFmtId="0" xfId="0" applyAlignment="1" applyBorder="1" applyFont="1">
      <alignment shrinkToFit="0" wrapText="1"/>
    </xf>
    <xf borderId="6" fillId="4" fontId="3" numFmtId="0" xfId="0" applyAlignment="1" applyBorder="1" applyFill="1" applyFont="1">
      <alignment shrinkToFit="0" vertical="center" wrapText="0"/>
    </xf>
    <xf borderId="6" fillId="4" fontId="6" numFmtId="0" xfId="0" applyAlignment="1" applyBorder="1" applyFont="1">
      <alignment horizontal="center" shrinkToFit="0" vertical="center" wrapText="0"/>
    </xf>
    <xf borderId="6" fillId="4" fontId="6" numFmtId="2" xfId="0" applyAlignment="1" applyBorder="1" applyFont="1" applyNumberFormat="1">
      <alignment horizontal="center" shrinkToFit="0" vertical="center" wrapText="0"/>
    </xf>
    <xf borderId="0" fillId="5" fontId="7" numFmtId="0" xfId="0" applyAlignment="1" applyFill="1" applyFont="1">
      <alignment vertical="bottom"/>
    </xf>
    <xf borderId="0" fillId="5" fontId="7" numFmtId="0" xfId="0" applyAlignment="1" applyFont="1">
      <alignment readingOrder="0"/>
    </xf>
    <xf borderId="0" fillId="0" fontId="4" numFmtId="0" xfId="0" applyFont="1"/>
    <xf borderId="0" fillId="0" fontId="3" numFmtId="0" xfId="0" applyFont="1"/>
    <xf borderId="0" fillId="0" fontId="8" numFmtId="0" xfId="0" applyAlignment="1" applyFont="1">
      <alignment horizontal="center"/>
    </xf>
    <xf borderId="0" fillId="0" fontId="9" numFmtId="0" xfId="0" applyFont="1"/>
    <xf borderId="0" fillId="0" fontId="8" numFmtId="0" xfId="0" applyFont="1"/>
    <xf borderId="2" fillId="3" fontId="3" numFmtId="0" xfId="0" applyAlignment="1" applyBorder="1" applyFont="1">
      <alignment horizontal="center" shrinkToFit="0" vertical="bottom" wrapText="0"/>
    </xf>
    <xf borderId="2" fillId="0" fontId="9" numFmtId="0" xfId="0" applyAlignment="1" applyBorder="1" applyFont="1">
      <alignment horizontal="right" shrinkToFit="0" vertical="bottom" wrapText="0"/>
    </xf>
    <xf borderId="2" fillId="0" fontId="9" numFmtId="0" xfId="0" applyAlignment="1" applyBorder="1" applyFont="1">
      <alignment horizontal="center" shrinkToFit="0" vertical="bottom" wrapText="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4" fillId="4" fontId="7" numFmtId="0" xfId="0" applyAlignment="1" applyBorder="1" applyFont="1">
      <alignment shrinkToFit="0" vertical="center" wrapText="0"/>
    </xf>
    <xf borderId="4" fillId="4" fontId="3" numFmtId="0" xfId="0" applyAlignment="1" applyBorder="1" applyFont="1">
      <alignment shrinkToFit="0" vertical="center" wrapText="0"/>
    </xf>
    <xf borderId="4" fillId="4" fontId="6" numFmtId="0" xfId="0" applyAlignment="1" applyBorder="1" applyFont="1">
      <alignment shrinkToFit="0" vertical="center" wrapText="0"/>
    </xf>
    <xf borderId="2" fillId="0" fontId="9" numFmtId="0" xfId="0" applyAlignment="1" applyBorder="1" applyFont="1">
      <alignment horizontal="center" readingOrder="0" shrinkToFit="0" vertical="bottom" wrapText="0"/>
    </xf>
    <xf borderId="4" fillId="4" fontId="7" numFmtId="0" xfId="0" applyAlignment="1" applyBorder="1" applyFont="1">
      <alignment shrinkToFit="0" vertical="bottom" wrapText="0"/>
    </xf>
    <xf borderId="4" fillId="4" fontId="6" numFmtId="0" xfId="0" applyAlignment="1" applyBorder="1" applyFont="1">
      <alignment shrinkToFit="0" vertical="bottom" wrapText="0"/>
    </xf>
    <xf borderId="0" fillId="0" fontId="9" numFmtId="0" xfId="0" applyAlignment="1" applyFont="1">
      <alignment shrinkToFit="0" vertical="bottom" wrapText="0"/>
    </xf>
    <xf borderId="0" fillId="0" fontId="9" numFmtId="0" xfId="0" applyAlignment="1" applyFont="1">
      <alignment horizontal="center" shrinkToFit="0" vertical="bottom" wrapText="0"/>
    </xf>
    <xf borderId="0" fillId="0" fontId="9" numFmtId="0" xfId="0" applyAlignment="1" applyFont="1">
      <alignment shrinkToFit="0" vertical="bottom" wrapText="1"/>
    </xf>
    <xf borderId="1" fillId="2" fontId="3" numFmtId="0" xfId="0" applyAlignment="1" applyBorder="1" applyFont="1">
      <alignment horizontal="center" shrinkToFit="0" vertical="bottom" wrapText="0"/>
    </xf>
    <xf borderId="2" fillId="3" fontId="3" numFmtId="0" xfId="0" applyAlignment="1" applyBorder="1" applyFont="1">
      <alignment horizontal="center" shrinkToFit="0" vertical="center" wrapText="1"/>
    </xf>
    <xf borderId="4" fillId="3" fontId="3" numFmtId="0" xfId="0" applyAlignment="1" applyBorder="1" applyFont="1">
      <alignment horizontal="center" shrinkToFit="0" vertical="center" wrapText="1"/>
    </xf>
    <xf borderId="0" fillId="0" fontId="4" numFmtId="0" xfId="0" applyAlignment="1" applyFont="1">
      <alignment horizontal="center" shrinkToFit="0" vertical="center" wrapText="1"/>
    </xf>
    <xf borderId="2" fillId="0" fontId="4" numFmtId="0" xfId="0" applyAlignment="1" applyBorder="1" applyFont="1">
      <alignment horizontal="left" readingOrder="0" shrinkToFit="0" vertical="top" wrapText="1"/>
    </xf>
    <xf borderId="2" fillId="6" fontId="4" numFmtId="0" xfId="0" applyAlignment="1" applyBorder="1" applyFill="1" applyFont="1">
      <alignment horizontal="left" readingOrder="0" shrinkToFit="0" vertical="top" wrapText="1"/>
    </xf>
    <xf borderId="2" fillId="6" fontId="4" numFmtId="0" xfId="0" applyAlignment="1" applyBorder="1" applyFont="1">
      <alignment horizontal="left" shrinkToFit="0" vertical="top" wrapText="1"/>
    </xf>
    <xf borderId="0" fillId="0" fontId="4" numFmtId="0" xfId="0" applyAlignment="1" applyFont="1">
      <alignment shrinkToFit="0" vertical="bottom" wrapText="1"/>
    </xf>
    <xf borderId="0" fillId="0" fontId="4" numFmtId="0" xfId="0" applyAlignment="1" applyFont="1">
      <alignment vertical="top"/>
    </xf>
    <xf borderId="4" fillId="4" fontId="7" numFmtId="0" xfId="0" applyAlignment="1" applyBorder="1" applyFont="1">
      <alignment shrinkToFit="0" vertical="top" wrapText="0"/>
    </xf>
    <xf borderId="4" fillId="4" fontId="7" numFmtId="0" xfId="0" applyAlignment="1" applyBorder="1" applyFont="1">
      <alignment horizontal="center" shrinkToFit="0" vertical="top" wrapText="0"/>
    </xf>
    <xf borderId="0" fillId="0" fontId="4" numFmtId="0" xfId="0" applyAlignment="1" applyFont="1">
      <alignment horizontal="center"/>
    </xf>
    <xf borderId="0" fillId="0" fontId="4" numFmtId="0" xfId="0" applyAlignment="1" applyFont="1">
      <alignment shrinkToFit="0" wrapText="1"/>
    </xf>
    <xf borderId="0" fillId="0" fontId="9" numFmtId="0" xfId="0" applyAlignment="1" applyFont="1">
      <alignment vertical="bottom"/>
    </xf>
    <xf borderId="7" fillId="0" fontId="10" numFmtId="0" xfId="0" applyAlignment="1" applyBorder="1" applyFont="1">
      <alignment horizontal="center" vertical="bottom"/>
    </xf>
    <xf borderId="8" fillId="0" fontId="2" numFmtId="0" xfId="0" applyBorder="1" applyFont="1"/>
    <xf borderId="3" fillId="0" fontId="2" numFmtId="0" xfId="0" applyBorder="1" applyFont="1"/>
    <xf borderId="9" fillId="0" fontId="11" numFmtId="0" xfId="0" applyAlignment="1" applyBorder="1" applyFont="1">
      <alignment horizontal="right" vertical="bottom"/>
    </xf>
    <xf borderId="5" fillId="0" fontId="2" numFmtId="0" xfId="0" applyBorder="1" applyFont="1"/>
    <xf borderId="1" fillId="0" fontId="12" numFmtId="0" xfId="0" applyAlignment="1" applyBorder="1" applyFont="1">
      <alignment horizontal="center" vertical="bottom"/>
    </xf>
    <xf borderId="1" fillId="0" fontId="11" numFmtId="0" xfId="0" applyAlignment="1" applyBorder="1" applyFont="1">
      <alignment horizontal="right" vertical="bottom"/>
    </xf>
    <xf borderId="9" fillId="0" fontId="13" numFmtId="0" xfId="0" applyAlignment="1" applyBorder="1" applyFont="1">
      <alignment horizontal="right"/>
    </xf>
    <xf borderId="1" fillId="0" fontId="4" numFmtId="0" xfId="0" applyBorder="1" applyFont="1"/>
    <xf borderId="0" fillId="0" fontId="12" numFmtId="0" xfId="0" applyAlignment="1" applyFont="1">
      <alignment vertical="bottom"/>
    </xf>
    <xf borderId="0" fillId="0" fontId="14" numFmtId="0" xfId="0" applyAlignment="1" applyFont="1">
      <alignment horizontal="right" vertical="bottom"/>
    </xf>
    <xf borderId="0" fillId="0" fontId="15" numFmtId="9" xfId="0" applyAlignment="1" applyFont="1" applyNumberFormat="1">
      <alignment horizontal="center" vertical="bottom"/>
    </xf>
    <xf borderId="0" fillId="0" fontId="14" numFmtId="14" xfId="0" applyAlignment="1" applyFont="1" applyNumberFormat="1">
      <alignment horizontal="right" vertical="bottom"/>
    </xf>
    <xf borderId="0" fillId="0" fontId="14" numFmtId="0" xfId="0" applyAlignment="1" applyFont="1">
      <alignment horizontal="center" vertical="bottom"/>
    </xf>
    <xf borderId="0" fillId="0" fontId="16" numFmtId="0" xfId="0" applyAlignment="1" applyFont="1">
      <alignment horizontal="center" vertical="bottom"/>
    </xf>
    <xf borderId="0" fillId="0" fontId="12" numFmtId="14" xfId="0" applyAlignment="1" applyFont="1" applyNumberFormat="1">
      <alignment vertical="bottom"/>
    </xf>
    <xf borderId="2" fillId="7" fontId="12" numFmtId="0" xfId="0" applyAlignment="1" applyBorder="1" applyFill="1" applyFont="1">
      <alignment horizontal="center" vertical="bottom"/>
    </xf>
    <xf borderId="2" fillId="7" fontId="12" numFmtId="0" xfId="0" applyAlignment="1" applyBorder="1" applyFont="1">
      <alignment vertical="bottom"/>
    </xf>
    <xf borderId="5" fillId="0" fontId="17" numFmtId="0" xfId="0" applyAlignment="1" applyBorder="1" applyFont="1">
      <alignment horizontal="center" shrinkToFit="0" vertical="bottom" wrapText="0"/>
    </xf>
    <xf borderId="2" fillId="7" fontId="12" numFmtId="9" xfId="0" applyAlignment="1" applyBorder="1" applyFont="1" applyNumberFormat="1">
      <alignment horizontal="center" vertical="bottom"/>
    </xf>
    <xf borderId="2" fillId="8" fontId="12" numFmtId="0" xfId="0" applyAlignment="1" applyBorder="1" applyFill="1" applyFont="1">
      <alignment horizontal="center" vertical="bottom"/>
    </xf>
    <xf borderId="2" fillId="8" fontId="12" numFmtId="0" xfId="0" applyAlignment="1" applyBorder="1" applyFont="1">
      <alignment vertical="bottom"/>
    </xf>
    <xf borderId="5" fillId="8" fontId="17" numFmtId="0" xfId="0" applyAlignment="1" applyBorder="1" applyFont="1">
      <alignment horizontal="center" shrinkToFit="0" vertical="bottom" wrapText="0"/>
    </xf>
    <xf borderId="2" fillId="8" fontId="12" numFmtId="9" xfId="0" applyAlignment="1" applyBorder="1" applyFont="1" applyNumberFormat="1">
      <alignment horizontal="center" vertical="bottom"/>
    </xf>
    <xf borderId="4" fillId="4" fontId="6" numFmtId="0" xfId="0" applyAlignment="1" applyBorder="1" applyFont="1">
      <alignment horizontal="center" shrinkToFit="0" vertical="center" wrapText="0"/>
    </xf>
    <xf borderId="4" fillId="4" fontId="6" numFmtId="9" xfId="0" applyAlignment="1" applyBorder="1" applyFont="1" applyNumberFormat="1">
      <alignment horizontal="center" shrinkToFit="0" vertical="center" wrapText="0"/>
    </xf>
    <xf borderId="0" fillId="0" fontId="4" numFmtId="0" xfId="0" applyAlignment="1" applyFont="1">
      <alignment shrinkToFit="0" vertical="bottom" wrapText="0"/>
    </xf>
    <xf borderId="4" fillId="0" fontId="4" numFmtId="0" xfId="0" applyAlignment="1" applyBorder="1" applyFont="1">
      <alignment shrinkToFit="0" vertical="bottom" wrapText="0"/>
    </xf>
    <xf quotePrefix="1"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50.25"/>
    <col customWidth="1" min="3" max="3" width="6.88"/>
    <col customWidth="1" min="4" max="4" width="12.63"/>
  </cols>
  <sheetData>
    <row r="1">
      <c r="A1" s="1" t="s">
        <v>0</v>
      </c>
      <c r="B1" s="2"/>
      <c r="C1" s="2"/>
      <c r="D1" s="2"/>
    </row>
    <row r="2">
      <c r="A2" s="3" t="s">
        <v>1</v>
      </c>
      <c r="B2" s="4" t="s">
        <v>2</v>
      </c>
      <c r="C2" s="4" t="s">
        <v>3</v>
      </c>
      <c r="D2" s="5">
        <v>2.2127223E7</v>
      </c>
      <c r="E2" s="6"/>
      <c r="F2" s="6"/>
      <c r="G2" s="6"/>
      <c r="H2" s="6"/>
      <c r="I2" s="6"/>
      <c r="J2" s="6"/>
      <c r="K2" s="6"/>
      <c r="L2" s="6"/>
      <c r="M2" s="6"/>
      <c r="N2" s="6"/>
      <c r="O2" s="6"/>
      <c r="P2" s="6"/>
      <c r="Q2" s="6"/>
      <c r="R2" s="6"/>
      <c r="S2" s="6"/>
      <c r="T2" s="6"/>
    </row>
    <row r="3">
      <c r="A3" s="7">
        <v>1.0</v>
      </c>
      <c r="B3" s="8" t="s">
        <v>4</v>
      </c>
      <c r="C3" s="9">
        <v>4.0</v>
      </c>
      <c r="D3" s="10">
        <f>min($C3,countif('Test Cases'!$J:$J,D$2)/if($C$9&gt;=4,2,if($C$9=3,3,if($C$9=2,4,if($C$9=1,5,5)))))</f>
        <v>4</v>
      </c>
      <c r="E3" s="11"/>
      <c r="F3" s="11"/>
      <c r="G3" s="11"/>
      <c r="H3" s="11"/>
      <c r="I3" s="11"/>
      <c r="J3" s="11"/>
      <c r="K3" s="11"/>
      <c r="L3" s="11"/>
      <c r="M3" s="11"/>
      <c r="N3" s="11"/>
      <c r="O3" s="11"/>
      <c r="P3" s="11"/>
      <c r="Q3" s="11"/>
      <c r="R3" s="11"/>
      <c r="S3" s="11"/>
      <c r="T3" s="11"/>
    </row>
    <row r="4">
      <c r="A4" s="7">
        <v>2.0</v>
      </c>
      <c r="B4" s="12" t="s">
        <v>5</v>
      </c>
      <c r="C4" s="9">
        <v>2.5</v>
      </c>
      <c r="D4" s="10">
        <f>min($C4,(COUNTIF('Requirement List'!$F:$F,"&lt;&gt;0")-2)*2)</f>
        <v>2.5</v>
      </c>
      <c r="E4" s="11"/>
      <c r="F4" s="11"/>
      <c r="G4" s="11"/>
      <c r="H4" s="11"/>
      <c r="I4" s="11"/>
      <c r="J4" s="11"/>
      <c r="K4" s="11"/>
      <c r="L4" s="11"/>
      <c r="M4" s="11"/>
      <c r="N4" s="11"/>
      <c r="O4" s="11"/>
      <c r="P4" s="11"/>
      <c r="Q4" s="11"/>
      <c r="R4" s="11"/>
      <c r="S4" s="11"/>
      <c r="T4" s="11"/>
    </row>
    <row r="5">
      <c r="A5" s="7">
        <v>3.0</v>
      </c>
      <c r="B5" s="12" t="s">
        <v>6</v>
      </c>
      <c r="C5" s="9">
        <v>2.5</v>
      </c>
      <c r="D5" s="10">
        <f>min($C5,(COUNTIF('Test Types'!$E:$E,"&lt;&gt;0")-2)*2)</f>
        <v>2.5</v>
      </c>
      <c r="E5" s="11"/>
      <c r="F5" s="11"/>
      <c r="G5" s="11"/>
      <c r="H5" s="11"/>
      <c r="I5" s="11"/>
      <c r="J5" s="11"/>
      <c r="K5" s="11"/>
      <c r="L5" s="11"/>
      <c r="M5" s="11"/>
      <c r="N5" s="11"/>
      <c r="O5" s="11"/>
      <c r="P5" s="11"/>
      <c r="Q5" s="11"/>
      <c r="R5" s="11"/>
      <c r="S5" s="11"/>
      <c r="T5" s="11"/>
    </row>
    <row r="6">
      <c r="A6" s="7">
        <v>4.0</v>
      </c>
      <c r="B6" s="12" t="s">
        <v>7</v>
      </c>
      <c r="C6" s="9">
        <v>1.0</v>
      </c>
      <c r="D6" s="10">
        <v>1.0</v>
      </c>
    </row>
    <row r="7">
      <c r="A7" s="13"/>
      <c r="B7" s="13" t="s">
        <v>8</v>
      </c>
      <c r="C7" s="14">
        <f t="shared" ref="C7:D7" si="1">SUM(C3:C6)</f>
        <v>10</v>
      </c>
      <c r="D7" s="15">
        <f t="shared" si="1"/>
        <v>10</v>
      </c>
    </row>
    <row r="8"/>
    <row r="9">
      <c r="B9" s="16" t="s">
        <v>9</v>
      </c>
      <c r="C9" s="17">
        <v>4.0</v>
      </c>
    </row>
    <row r="10">
      <c r="B10" s="18"/>
    </row>
    <row r="11">
      <c r="B11" s="19"/>
      <c r="C11" s="20"/>
    </row>
    <row r="12">
      <c r="B12" s="21"/>
      <c r="C12" s="22"/>
    </row>
    <row r="13">
      <c r="B13" s="21"/>
      <c r="C13" s="22"/>
    </row>
    <row r="14">
      <c r="B14" s="21"/>
      <c r="C14" s="22"/>
    </row>
    <row r="15">
      <c r="B15" s="21"/>
      <c r="C15" s="22"/>
    </row>
    <row r="16"/>
    <row r="17">
      <c r="B17" s="18"/>
    </row>
    <row r="18">
      <c r="B18" s="18"/>
      <c r="C18" s="18"/>
    </row>
    <row r="19">
      <c r="B19" s="18"/>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5.63"/>
    <col customWidth="1" min="3" max="3" width="19.13"/>
    <col customWidth="1" min="4" max="4" width="12.63"/>
    <col customWidth="1" hidden="1" min="5" max="5" width="12.63"/>
    <col customWidth="1" min="6" max="6" width="12.63"/>
  </cols>
  <sheetData>
    <row r="1">
      <c r="A1" s="23" t="s">
        <v>10</v>
      </c>
      <c r="B1" s="23" t="s">
        <v>11</v>
      </c>
      <c r="C1" s="23" t="s">
        <v>12</v>
      </c>
      <c r="D1" s="23" t="s">
        <v>13</v>
      </c>
      <c r="E1" s="23" t="s">
        <v>14</v>
      </c>
      <c r="F1" s="23" t="s">
        <v>15</v>
      </c>
    </row>
    <row r="2">
      <c r="A2" s="24">
        <v>1.0</v>
      </c>
      <c r="B2" s="25" t="s">
        <v>16</v>
      </c>
      <c r="C2" s="26" t="s">
        <v>17</v>
      </c>
      <c r="D2" s="27"/>
      <c r="E2" s="27"/>
      <c r="F2" s="27">
        <f>countif('Test Cases'!D:D,C2)</f>
        <v>6</v>
      </c>
    </row>
    <row r="3">
      <c r="A3" s="24">
        <v>2.0</v>
      </c>
      <c r="B3" s="25" t="s">
        <v>18</v>
      </c>
      <c r="C3" s="26" t="s">
        <v>19</v>
      </c>
      <c r="D3" s="27"/>
      <c r="E3" s="27"/>
      <c r="F3" s="27">
        <f>countif('Test Cases'!D:D,C3)</f>
        <v>9</v>
      </c>
    </row>
    <row r="4">
      <c r="A4" s="28" t="s">
        <v>20</v>
      </c>
      <c r="B4" s="29"/>
      <c r="C4" s="29"/>
      <c r="D4" s="29" t="s">
        <v>8</v>
      </c>
      <c r="E4" s="29" t="s">
        <v>8</v>
      </c>
      <c r="F4" s="30">
        <f>SUM(F2:F3)</f>
        <v>15</v>
      </c>
      <c r="G4" s="11"/>
      <c r="H4" s="11"/>
      <c r="I4" s="11"/>
      <c r="J4" s="11"/>
      <c r="K4" s="11"/>
      <c r="L4" s="11"/>
      <c r="M4" s="11"/>
      <c r="N4" s="11"/>
      <c r="O4" s="11"/>
      <c r="P4" s="11"/>
      <c r="Q4" s="11"/>
      <c r="R4" s="11"/>
      <c r="S4" s="11"/>
      <c r="T4" s="11"/>
      <c r="U4" s="11"/>
      <c r="V4" s="11"/>
      <c r="W4" s="11"/>
      <c r="X4" s="11"/>
      <c r="Y4" s="11"/>
      <c r="Z4" s="11"/>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2.63"/>
    <col customWidth="1" min="3" max="3" width="19.38"/>
    <col customWidth="1" min="4" max="6" width="12.63"/>
  </cols>
  <sheetData>
    <row r="1">
      <c r="A1" s="23" t="s">
        <v>10</v>
      </c>
      <c r="B1" s="23" t="s">
        <v>11</v>
      </c>
      <c r="C1" s="23" t="s">
        <v>21</v>
      </c>
      <c r="D1" s="23" t="s">
        <v>13</v>
      </c>
      <c r="E1" s="23" t="s">
        <v>15</v>
      </c>
    </row>
    <row r="2">
      <c r="A2" s="24">
        <v>1.0</v>
      </c>
      <c r="B2" s="31" t="s">
        <v>22</v>
      </c>
      <c r="C2" s="26" t="s">
        <v>23</v>
      </c>
      <c r="D2" s="27"/>
      <c r="E2" s="27">
        <f>countif('Test Cases'!C:C,B2)</f>
        <v>11</v>
      </c>
    </row>
    <row r="3">
      <c r="A3" s="24">
        <v>2.0</v>
      </c>
      <c r="B3" s="31" t="s">
        <v>24</v>
      </c>
      <c r="C3" s="26" t="s">
        <v>25</v>
      </c>
      <c r="D3" s="27"/>
      <c r="E3" s="27">
        <f>countif('Test Cases'!C:C,B3)</f>
        <v>4</v>
      </c>
    </row>
    <row r="4">
      <c r="A4" s="32" t="s">
        <v>20</v>
      </c>
      <c r="B4" s="32"/>
      <c r="C4" s="32"/>
      <c r="D4" s="29" t="s">
        <v>8</v>
      </c>
      <c r="E4" s="33">
        <f>SUM(E2:E3)</f>
        <v>15</v>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6.5"/>
    <col customWidth="1" min="3" max="3" width="12.25"/>
    <col customWidth="1" min="4" max="4" width="20.5"/>
    <col customWidth="1" min="5" max="5" width="15.5"/>
    <col customWidth="1" min="6" max="6" width="12.63"/>
    <col customWidth="1" min="7" max="8" width="21.88"/>
    <col customWidth="1" min="11" max="11" width="19.13"/>
  </cols>
  <sheetData>
    <row r="1">
      <c r="A1" s="34"/>
      <c r="B1" s="35"/>
      <c r="C1" s="35"/>
      <c r="D1" s="35"/>
      <c r="E1" s="34"/>
      <c r="F1" s="34"/>
      <c r="G1" s="36"/>
      <c r="H1" s="36"/>
      <c r="I1" s="34"/>
      <c r="J1" s="34"/>
      <c r="K1" s="37" t="s">
        <v>26</v>
      </c>
      <c r="L1" s="2"/>
      <c r="M1" s="2"/>
      <c r="N1" s="2"/>
      <c r="O1" s="2"/>
      <c r="P1" s="2"/>
    </row>
    <row r="2">
      <c r="A2" s="38" t="s">
        <v>10</v>
      </c>
      <c r="B2" s="38" t="s">
        <v>27</v>
      </c>
      <c r="C2" s="38" t="s">
        <v>21</v>
      </c>
      <c r="D2" s="38" t="s">
        <v>12</v>
      </c>
      <c r="E2" s="38" t="s">
        <v>28</v>
      </c>
      <c r="F2" s="38" t="s">
        <v>29</v>
      </c>
      <c r="G2" s="38" t="s">
        <v>30</v>
      </c>
      <c r="H2" s="38" t="s">
        <v>31</v>
      </c>
      <c r="I2" s="38" t="s">
        <v>32</v>
      </c>
      <c r="J2" s="38" t="s">
        <v>33</v>
      </c>
      <c r="K2" s="39" t="s">
        <v>34</v>
      </c>
      <c r="L2" s="39" t="s">
        <v>35</v>
      </c>
      <c r="M2" s="39" t="s">
        <v>36</v>
      </c>
      <c r="N2" s="39" t="s">
        <v>37</v>
      </c>
      <c r="O2" s="39" t="s">
        <v>38</v>
      </c>
      <c r="P2" s="39" t="s">
        <v>14</v>
      </c>
      <c r="Q2" s="40"/>
      <c r="R2" s="40"/>
      <c r="S2" s="40"/>
      <c r="T2" s="40"/>
      <c r="U2" s="40"/>
      <c r="V2" s="40"/>
      <c r="W2" s="40"/>
    </row>
    <row r="3">
      <c r="A3" s="41">
        <v>1.0</v>
      </c>
      <c r="B3" s="41" t="s">
        <v>39</v>
      </c>
      <c r="C3" s="41" t="s">
        <v>22</v>
      </c>
      <c r="D3" s="41" t="s">
        <v>17</v>
      </c>
      <c r="E3" s="41" t="s">
        <v>40</v>
      </c>
      <c r="F3" s="41" t="s">
        <v>41</v>
      </c>
      <c r="G3" s="41" t="s">
        <v>42</v>
      </c>
      <c r="H3" s="41" t="s">
        <v>43</v>
      </c>
      <c r="I3" s="41" t="s">
        <v>44</v>
      </c>
      <c r="J3" s="41">
        <v>2.2127223E7</v>
      </c>
      <c r="K3" s="42" t="s">
        <v>45</v>
      </c>
      <c r="L3" s="42" t="s">
        <v>46</v>
      </c>
      <c r="M3" s="43"/>
      <c r="N3" s="42">
        <v>2.2127223E7</v>
      </c>
      <c r="O3" s="42" t="s">
        <v>47</v>
      </c>
      <c r="P3" s="42" t="s">
        <v>48</v>
      </c>
      <c r="Q3" s="44"/>
      <c r="R3" s="45"/>
      <c r="S3" s="45"/>
      <c r="T3" s="45"/>
      <c r="U3" s="45"/>
      <c r="V3" s="45"/>
      <c r="W3" s="45"/>
    </row>
    <row r="4">
      <c r="A4" s="41">
        <v>2.0</v>
      </c>
      <c r="B4" s="41" t="s">
        <v>49</v>
      </c>
      <c r="C4" s="41" t="s">
        <v>22</v>
      </c>
      <c r="D4" s="41" t="s">
        <v>17</v>
      </c>
      <c r="E4" s="41" t="s">
        <v>50</v>
      </c>
      <c r="F4" s="41" t="s">
        <v>41</v>
      </c>
      <c r="G4" s="41" t="s">
        <v>51</v>
      </c>
      <c r="H4" s="41" t="s">
        <v>52</v>
      </c>
      <c r="I4" s="41" t="s">
        <v>53</v>
      </c>
      <c r="J4" s="41">
        <v>2.2127223E7</v>
      </c>
      <c r="K4" s="42" t="s">
        <v>54</v>
      </c>
      <c r="L4" s="42" t="s">
        <v>55</v>
      </c>
      <c r="M4" s="42" t="s">
        <v>56</v>
      </c>
      <c r="N4" s="42">
        <v>2.2127223E7</v>
      </c>
      <c r="O4" s="42" t="s">
        <v>47</v>
      </c>
      <c r="P4" s="42" t="s">
        <v>48</v>
      </c>
      <c r="Q4" s="44"/>
      <c r="R4" s="45"/>
      <c r="S4" s="45"/>
      <c r="T4" s="45"/>
      <c r="U4" s="45"/>
      <c r="V4" s="45"/>
      <c r="W4" s="45"/>
    </row>
    <row r="5">
      <c r="A5" s="41">
        <v>3.0</v>
      </c>
      <c r="B5" s="41" t="s">
        <v>57</v>
      </c>
      <c r="C5" s="41" t="s">
        <v>22</v>
      </c>
      <c r="D5" s="41" t="s">
        <v>17</v>
      </c>
      <c r="E5" s="41" t="s">
        <v>58</v>
      </c>
      <c r="F5" s="41" t="s">
        <v>41</v>
      </c>
      <c r="G5" s="41" t="s">
        <v>59</v>
      </c>
      <c r="H5" s="41" t="s">
        <v>60</v>
      </c>
      <c r="I5" s="41" t="s">
        <v>61</v>
      </c>
      <c r="J5" s="41">
        <v>2.2127223E7</v>
      </c>
      <c r="K5" s="42" t="s">
        <v>54</v>
      </c>
      <c r="L5" s="42" t="s">
        <v>55</v>
      </c>
      <c r="M5" s="42" t="s">
        <v>62</v>
      </c>
      <c r="N5" s="42">
        <v>2.2127223E7</v>
      </c>
      <c r="O5" s="42" t="s">
        <v>47</v>
      </c>
      <c r="P5" s="42" t="s">
        <v>48</v>
      </c>
      <c r="Q5" s="44"/>
      <c r="R5" s="45"/>
      <c r="S5" s="45"/>
      <c r="T5" s="45"/>
      <c r="U5" s="45"/>
      <c r="V5" s="45"/>
      <c r="W5" s="45"/>
    </row>
    <row r="6">
      <c r="A6" s="41">
        <v>4.0</v>
      </c>
      <c r="B6" s="41" t="s">
        <v>63</v>
      </c>
      <c r="C6" s="41" t="s">
        <v>22</v>
      </c>
      <c r="D6" s="41" t="s">
        <v>17</v>
      </c>
      <c r="E6" s="41" t="s">
        <v>64</v>
      </c>
      <c r="F6" s="41" t="s">
        <v>41</v>
      </c>
      <c r="G6" s="41" t="s">
        <v>65</v>
      </c>
      <c r="H6" s="41" t="s">
        <v>66</v>
      </c>
      <c r="I6" s="41" t="s">
        <v>67</v>
      </c>
      <c r="J6" s="41">
        <v>2.2127223E7</v>
      </c>
      <c r="K6" s="42" t="s">
        <v>68</v>
      </c>
      <c r="L6" s="42" t="s">
        <v>46</v>
      </c>
      <c r="M6" s="43"/>
      <c r="N6" s="42">
        <v>2.2127223E7</v>
      </c>
      <c r="O6" s="42" t="s">
        <v>47</v>
      </c>
      <c r="P6" s="42" t="s">
        <v>48</v>
      </c>
      <c r="Q6" s="44"/>
      <c r="R6" s="45"/>
      <c r="S6" s="45"/>
      <c r="T6" s="45"/>
      <c r="U6" s="45"/>
      <c r="V6" s="45"/>
      <c r="W6" s="45"/>
    </row>
    <row r="7">
      <c r="A7" s="41">
        <v>5.0</v>
      </c>
      <c r="B7" s="41" t="s">
        <v>69</v>
      </c>
      <c r="C7" s="41" t="s">
        <v>22</v>
      </c>
      <c r="D7" s="41" t="s">
        <v>17</v>
      </c>
      <c r="E7" s="41" t="s">
        <v>70</v>
      </c>
      <c r="F7" s="41" t="s">
        <v>41</v>
      </c>
      <c r="G7" s="41" t="s">
        <v>71</v>
      </c>
      <c r="H7" s="41" t="s">
        <v>72</v>
      </c>
      <c r="I7" s="41" t="s">
        <v>73</v>
      </c>
      <c r="J7" s="41">
        <v>2.2127223E7</v>
      </c>
      <c r="K7" s="42" t="s">
        <v>74</v>
      </c>
      <c r="L7" s="42" t="s">
        <v>46</v>
      </c>
      <c r="M7" s="43"/>
      <c r="N7" s="42">
        <v>2.2127223E7</v>
      </c>
      <c r="O7" s="42" t="s">
        <v>47</v>
      </c>
      <c r="P7" s="42" t="s">
        <v>48</v>
      </c>
      <c r="Q7" s="44"/>
      <c r="R7" s="45"/>
      <c r="S7" s="45"/>
      <c r="T7" s="45"/>
      <c r="U7" s="45"/>
      <c r="V7" s="45"/>
      <c r="W7" s="45"/>
    </row>
    <row r="8">
      <c r="A8" s="41">
        <v>6.0</v>
      </c>
      <c r="B8" s="41" t="s">
        <v>75</v>
      </c>
      <c r="C8" s="41" t="s">
        <v>22</v>
      </c>
      <c r="D8" s="41" t="s">
        <v>17</v>
      </c>
      <c r="E8" s="41" t="s">
        <v>76</v>
      </c>
      <c r="F8" s="41" t="s">
        <v>41</v>
      </c>
      <c r="G8" s="41" t="s">
        <v>77</v>
      </c>
      <c r="H8" s="41" t="s">
        <v>78</v>
      </c>
      <c r="I8" s="41" t="s">
        <v>79</v>
      </c>
      <c r="J8" s="41">
        <v>2.2127223E7</v>
      </c>
      <c r="K8" s="42" t="s">
        <v>80</v>
      </c>
      <c r="L8" s="42" t="s">
        <v>55</v>
      </c>
      <c r="M8" s="42" t="s">
        <v>81</v>
      </c>
      <c r="N8" s="42">
        <v>2.2127223E7</v>
      </c>
      <c r="O8" s="42" t="s">
        <v>47</v>
      </c>
      <c r="P8" s="42" t="s">
        <v>48</v>
      </c>
      <c r="Q8" s="44"/>
      <c r="R8" s="45"/>
      <c r="S8" s="45"/>
      <c r="T8" s="45"/>
      <c r="U8" s="45"/>
      <c r="V8" s="45"/>
      <c r="W8" s="45"/>
    </row>
    <row r="9">
      <c r="A9" s="41">
        <v>7.0</v>
      </c>
      <c r="B9" s="41" t="s">
        <v>82</v>
      </c>
      <c r="C9" s="41" t="s">
        <v>22</v>
      </c>
      <c r="D9" s="41" t="s">
        <v>83</v>
      </c>
      <c r="E9" s="41" t="s">
        <v>84</v>
      </c>
      <c r="F9" s="41" t="s">
        <v>41</v>
      </c>
      <c r="G9" s="41" t="s">
        <v>85</v>
      </c>
      <c r="H9" s="41" t="s">
        <v>86</v>
      </c>
      <c r="I9" s="41" t="s">
        <v>87</v>
      </c>
      <c r="J9" s="41">
        <v>2.2127223E7</v>
      </c>
      <c r="K9" s="42" t="s">
        <v>87</v>
      </c>
      <c r="L9" s="42" t="s">
        <v>46</v>
      </c>
      <c r="M9" s="43"/>
      <c r="N9" s="42">
        <v>2.2127223E7</v>
      </c>
      <c r="O9" s="42" t="s">
        <v>47</v>
      </c>
      <c r="P9" s="42" t="s">
        <v>48</v>
      </c>
      <c r="Q9" s="44"/>
      <c r="R9" s="45"/>
      <c r="S9" s="45"/>
      <c r="T9" s="45"/>
      <c r="U9" s="45"/>
      <c r="V9" s="45"/>
      <c r="W9" s="45"/>
    </row>
    <row r="10">
      <c r="A10" s="41">
        <v>8.0</v>
      </c>
      <c r="B10" s="41" t="s">
        <v>88</v>
      </c>
      <c r="C10" s="41" t="s">
        <v>22</v>
      </c>
      <c r="D10" s="41" t="s">
        <v>83</v>
      </c>
      <c r="E10" s="41" t="s">
        <v>89</v>
      </c>
      <c r="F10" s="41" t="s">
        <v>41</v>
      </c>
      <c r="G10" s="41" t="s">
        <v>90</v>
      </c>
      <c r="H10" s="41" t="s">
        <v>91</v>
      </c>
      <c r="I10" s="41" t="s">
        <v>92</v>
      </c>
      <c r="J10" s="41">
        <v>2.2127223E7</v>
      </c>
      <c r="K10" s="42" t="s">
        <v>93</v>
      </c>
      <c r="L10" s="42" t="s">
        <v>46</v>
      </c>
      <c r="M10" s="43"/>
      <c r="N10" s="42">
        <v>2.2127223E7</v>
      </c>
      <c r="O10" s="42" t="s">
        <v>47</v>
      </c>
      <c r="P10" s="42" t="s">
        <v>48</v>
      </c>
      <c r="Q10" s="44"/>
      <c r="R10" s="45"/>
      <c r="S10" s="45"/>
      <c r="T10" s="45"/>
      <c r="U10" s="45"/>
      <c r="V10" s="45"/>
      <c r="W10" s="45"/>
    </row>
    <row r="11">
      <c r="A11" s="41">
        <v>9.0</v>
      </c>
      <c r="B11" s="41" t="s">
        <v>94</v>
      </c>
      <c r="C11" s="41" t="s">
        <v>22</v>
      </c>
      <c r="D11" s="41" t="s">
        <v>83</v>
      </c>
      <c r="E11" s="41" t="s">
        <v>95</v>
      </c>
      <c r="F11" s="41" t="s">
        <v>41</v>
      </c>
      <c r="G11" s="41" t="s">
        <v>96</v>
      </c>
      <c r="H11" s="41" t="s">
        <v>97</v>
      </c>
      <c r="I11" s="41" t="s">
        <v>98</v>
      </c>
      <c r="J11" s="41">
        <v>2.2127223E7</v>
      </c>
      <c r="K11" s="42" t="s">
        <v>99</v>
      </c>
      <c r="L11" s="42" t="s">
        <v>46</v>
      </c>
      <c r="M11" s="43"/>
      <c r="N11" s="42">
        <v>2.2127223E7</v>
      </c>
      <c r="O11" s="42" t="s">
        <v>47</v>
      </c>
      <c r="P11" s="42" t="s">
        <v>48</v>
      </c>
      <c r="Q11" s="44"/>
      <c r="R11" s="45"/>
      <c r="S11" s="45"/>
      <c r="T11" s="45"/>
      <c r="U11" s="45"/>
      <c r="V11" s="45"/>
      <c r="W11" s="45"/>
    </row>
    <row r="12">
      <c r="A12" s="41">
        <v>10.0</v>
      </c>
      <c r="B12" s="41" t="s">
        <v>100</v>
      </c>
      <c r="C12" s="41" t="s">
        <v>22</v>
      </c>
      <c r="D12" s="41" t="s">
        <v>83</v>
      </c>
      <c r="E12" s="41" t="s">
        <v>64</v>
      </c>
      <c r="F12" s="41" t="s">
        <v>41</v>
      </c>
      <c r="G12" s="41" t="s">
        <v>101</v>
      </c>
      <c r="H12" s="41" t="s">
        <v>102</v>
      </c>
      <c r="I12" s="41" t="s">
        <v>67</v>
      </c>
      <c r="J12" s="41">
        <v>2.2127223E7</v>
      </c>
      <c r="K12" s="42" t="s">
        <v>103</v>
      </c>
      <c r="L12" s="42" t="s">
        <v>46</v>
      </c>
      <c r="M12" s="43"/>
      <c r="N12" s="42">
        <v>2.2127223E7</v>
      </c>
      <c r="O12" s="42" t="s">
        <v>47</v>
      </c>
      <c r="P12" s="42" t="s">
        <v>48</v>
      </c>
      <c r="Q12" s="44"/>
      <c r="R12" s="45"/>
      <c r="S12" s="45"/>
      <c r="T12" s="45"/>
      <c r="U12" s="45"/>
      <c r="V12" s="45"/>
      <c r="W12" s="45"/>
    </row>
    <row r="13">
      <c r="A13" s="41">
        <v>11.0</v>
      </c>
      <c r="B13" s="41" t="s">
        <v>104</v>
      </c>
      <c r="C13" s="41" t="s">
        <v>22</v>
      </c>
      <c r="D13" s="41" t="s">
        <v>83</v>
      </c>
      <c r="E13" s="41" t="s">
        <v>105</v>
      </c>
      <c r="F13" s="41" t="s">
        <v>41</v>
      </c>
      <c r="G13" s="41" t="s">
        <v>106</v>
      </c>
      <c r="H13" s="41" t="s">
        <v>107</v>
      </c>
      <c r="I13" s="41" t="s">
        <v>108</v>
      </c>
      <c r="J13" s="41">
        <v>2.2127223E7</v>
      </c>
      <c r="K13" s="42" t="s">
        <v>109</v>
      </c>
      <c r="L13" s="42" t="s">
        <v>46</v>
      </c>
      <c r="M13" s="43"/>
      <c r="N13" s="42">
        <v>2.2127223E7</v>
      </c>
      <c r="O13" s="42" t="s">
        <v>47</v>
      </c>
      <c r="P13" s="42" t="s">
        <v>48</v>
      </c>
      <c r="Q13" s="44"/>
      <c r="R13" s="45"/>
      <c r="S13" s="45"/>
      <c r="T13" s="45"/>
      <c r="U13" s="45"/>
      <c r="V13" s="45"/>
      <c r="W13" s="45"/>
    </row>
    <row r="14">
      <c r="A14" s="41">
        <v>12.0</v>
      </c>
      <c r="B14" s="41" t="s">
        <v>110</v>
      </c>
      <c r="C14" s="41" t="s">
        <v>24</v>
      </c>
      <c r="D14" s="41" t="s">
        <v>83</v>
      </c>
      <c r="E14" s="41" t="s">
        <v>111</v>
      </c>
      <c r="F14" s="41" t="s">
        <v>41</v>
      </c>
      <c r="G14" s="41" t="s">
        <v>112</v>
      </c>
      <c r="H14" s="41" t="s">
        <v>113</v>
      </c>
      <c r="I14" s="41" t="s">
        <v>114</v>
      </c>
      <c r="J14" s="41">
        <v>2.2127223E7</v>
      </c>
      <c r="K14" s="42" t="s">
        <v>115</v>
      </c>
      <c r="L14" s="42" t="s">
        <v>46</v>
      </c>
      <c r="M14" s="43"/>
      <c r="N14" s="42">
        <v>2.2127223E7</v>
      </c>
      <c r="O14" s="42" t="s">
        <v>47</v>
      </c>
      <c r="P14" s="42" t="s">
        <v>48</v>
      </c>
      <c r="Q14" s="44"/>
      <c r="R14" s="45"/>
      <c r="S14" s="45"/>
      <c r="T14" s="45"/>
      <c r="U14" s="45"/>
      <c r="V14" s="45"/>
      <c r="W14" s="45"/>
    </row>
    <row r="15">
      <c r="A15" s="41">
        <v>13.0</v>
      </c>
      <c r="B15" s="41" t="s">
        <v>116</v>
      </c>
      <c r="C15" s="41" t="s">
        <v>24</v>
      </c>
      <c r="D15" s="41" t="s">
        <v>83</v>
      </c>
      <c r="E15" s="41" t="s">
        <v>117</v>
      </c>
      <c r="F15" s="41" t="s">
        <v>41</v>
      </c>
      <c r="G15" s="41" t="s">
        <v>118</v>
      </c>
      <c r="H15" s="41" t="s">
        <v>119</v>
      </c>
      <c r="I15" s="41" t="s">
        <v>87</v>
      </c>
      <c r="J15" s="41">
        <v>2.2127223E7</v>
      </c>
      <c r="K15" s="42" t="s">
        <v>87</v>
      </c>
      <c r="L15" s="42" t="s">
        <v>46</v>
      </c>
      <c r="M15" s="43"/>
      <c r="N15" s="42">
        <v>2.2127223E7</v>
      </c>
      <c r="O15" s="42" t="s">
        <v>47</v>
      </c>
      <c r="P15" s="42" t="s">
        <v>48</v>
      </c>
      <c r="Q15" s="44"/>
      <c r="R15" s="45"/>
      <c r="S15" s="45"/>
      <c r="T15" s="45"/>
      <c r="U15" s="45"/>
      <c r="V15" s="45"/>
      <c r="W15" s="45"/>
    </row>
    <row r="16">
      <c r="A16" s="41">
        <v>14.0</v>
      </c>
      <c r="B16" s="41" t="s">
        <v>120</v>
      </c>
      <c r="C16" s="41" t="s">
        <v>24</v>
      </c>
      <c r="D16" s="41" t="s">
        <v>83</v>
      </c>
      <c r="E16" s="41" t="s">
        <v>121</v>
      </c>
      <c r="F16" s="41" t="s">
        <v>41</v>
      </c>
      <c r="G16" s="41" t="s">
        <v>122</v>
      </c>
      <c r="H16" s="41" t="s">
        <v>123</v>
      </c>
      <c r="I16" s="41" t="s">
        <v>124</v>
      </c>
      <c r="J16" s="41">
        <v>2.2127223E7</v>
      </c>
      <c r="K16" s="42" t="s">
        <v>109</v>
      </c>
      <c r="L16" s="42" t="s">
        <v>46</v>
      </c>
      <c r="M16" s="43"/>
      <c r="N16" s="42">
        <v>2.2127223E7</v>
      </c>
      <c r="O16" s="42" t="s">
        <v>47</v>
      </c>
      <c r="P16" s="42" t="s">
        <v>48</v>
      </c>
      <c r="Q16" s="44"/>
      <c r="R16" s="45"/>
      <c r="S16" s="45"/>
      <c r="T16" s="45"/>
      <c r="U16" s="45"/>
      <c r="V16" s="45"/>
      <c r="W16" s="45"/>
    </row>
    <row r="17">
      <c r="A17" s="41">
        <v>15.0</v>
      </c>
      <c r="B17" s="41" t="s">
        <v>125</v>
      </c>
      <c r="C17" s="41" t="s">
        <v>24</v>
      </c>
      <c r="D17" s="41" t="s">
        <v>83</v>
      </c>
      <c r="E17" s="41" t="s">
        <v>126</v>
      </c>
      <c r="F17" s="41" t="s">
        <v>41</v>
      </c>
      <c r="G17" s="41" t="s">
        <v>127</v>
      </c>
      <c r="H17" s="41" t="s">
        <v>128</v>
      </c>
      <c r="I17" s="41" t="s">
        <v>87</v>
      </c>
      <c r="J17" s="41">
        <v>2.2127223E7</v>
      </c>
      <c r="K17" s="42" t="s">
        <v>87</v>
      </c>
      <c r="L17" s="42" t="s">
        <v>46</v>
      </c>
      <c r="M17" s="43"/>
      <c r="N17" s="42">
        <v>2.2127223E7</v>
      </c>
      <c r="O17" s="42" t="s">
        <v>47</v>
      </c>
      <c r="P17" s="42" t="s">
        <v>48</v>
      </c>
      <c r="Q17" s="44"/>
      <c r="R17" s="45"/>
      <c r="S17" s="45"/>
      <c r="T17" s="45"/>
      <c r="U17" s="45"/>
      <c r="V17" s="45"/>
      <c r="W17" s="45"/>
    </row>
    <row r="18">
      <c r="A18" s="46" t="s">
        <v>20</v>
      </c>
      <c r="B18" s="46"/>
      <c r="C18" s="47"/>
      <c r="D18" s="46"/>
      <c r="E18" s="46"/>
      <c r="F18" s="46"/>
      <c r="G18" s="46"/>
      <c r="H18" s="46"/>
      <c r="I18" s="46"/>
      <c r="J18" s="46"/>
      <c r="K18" s="46"/>
      <c r="L18" s="46"/>
      <c r="M18" s="46"/>
      <c r="N18" s="46"/>
      <c r="O18" s="46"/>
      <c r="P18" s="46"/>
      <c r="Q18" s="45"/>
      <c r="R18" s="45"/>
      <c r="S18" s="45"/>
      <c r="T18" s="45"/>
      <c r="U18" s="45"/>
      <c r="V18" s="45"/>
      <c r="W18" s="45"/>
    </row>
    <row r="19">
      <c r="C19" s="48"/>
      <c r="G19" s="49"/>
      <c r="H19" s="49"/>
      <c r="I19" s="50"/>
      <c r="J19" s="50"/>
    </row>
    <row r="20">
      <c r="C20" s="48"/>
      <c r="G20" s="49"/>
      <c r="H20" s="49"/>
      <c r="I20" s="50"/>
      <c r="J20" s="50"/>
    </row>
    <row r="21">
      <c r="C21" s="48"/>
      <c r="G21" s="49"/>
      <c r="H21" s="49"/>
      <c r="I21" s="50"/>
      <c r="J21" s="50"/>
    </row>
    <row r="22">
      <c r="C22" s="48"/>
      <c r="G22" s="49"/>
      <c r="H22" s="49"/>
      <c r="I22" s="50"/>
      <c r="J22" s="50"/>
    </row>
    <row r="23">
      <c r="C23" s="48"/>
      <c r="G23" s="49"/>
      <c r="H23" s="49"/>
    </row>
    <row r="24">
      <c r="C24" s="48"/>
      <c r="G24" s="49"/>
      <c r="H24" s="49"/>
    </row>
    <row r="25">
      <c r="C25" s="48"/>
      <c r="G25" s="49"/>
      <c r="H25" s="49"/>
    </row>
    <row r="26">
      <c r="C26" s="48"/>
      <c r="G26" s="49"/>
      <c r="H26" s="49"/>
    </row>
    <row r="27">
      <c r="C27" s="48"/>
      <c r="G27" s="49"/>
      <c r="H27" s="49"/>
    </row>
    <row r="28">
      <c r="C28" s="48"/>
      <c r="G28" s="49"/>
      <c r="H28" s="49"/>
    </row>
    <row r="29">
      <c r="C29" s="48"/>
      <c r="G29" s="49"/>
      <c r="H29" s="49"/>
    </row>
    <row r="30">
      <c r="C30" s="48"/>
      <c r="G30" s="49"/>
      <c r="H30" s="49"/>
    </row>
    <row r="31">
      <c r="C31" s="48"/>
      <c r="G31" s="49"/>
      <c r="H31" s="49"/>
    </row>
    <row r="32">
      <c r="C32" s="48"/>
      <c r="G32" s="49"/>
      <c r="H32" s="49"/>
    </row>
    <row r="33">
      <c r="C33" s="48"/>
      <c r="G33" s="49"/>
      <c r="H33" s="49"/>
    </row>
    <row r="34">
      <c r="C34" s="48"/>
      <c r="G34" s="49"/>
      <c r="H34" s="49"/>
    </row>
    <row r="35">
      <c r="C35" s="48"/>
      <c r="G35" s="49"/>
      <c r="H35" s="49"/>
    </row>
    <row r="36">
      <c r="C36" s="48"/>
      <c r="G36" s="49"/>
      <c r="H36" s="49"/>
    </row>
    <row r="37">
      <c r="C37" s="48"/>
      <c r="G37" s="49"/>
      <c r="H37" s="49"/>
    </row>
    <row r="38">
      <c r="C38" s="48"/>
      <c r="G38" s="49"/>
      <c r="H38" s="49"/>
    </row>
    <row r="39">
      <c r="C39" s="48"/>
      <c r="G39" s="49"/>
      <c r="H39" s="49"/>
    </row>
    <row r="40">
      <c r="C40" s="48"/>
      <c r="G40" s="49"/>
      <c r="H40" s="49"/>
    </row>
    <row r="41">
      <c r="C41" s="48"/>
      <c r="G41" s="49"/>
      <c r="H41" s="49"/>
    </row>
    <row r="42">
      <c r="C42" s="48"/>
      <c r="G42" s="49"/>
      <c r="H42" s="49"/>
    </row>
    <row r="43">
      <c r="C43" s="48"/>
      <c r="G43" s="49"/>
      <c r="H43" s="49"/>
    </row>
    <row r="44">
      <c r="C44" s="48"/>
      <c r="G44" s="49"/>
      <c r="H44" s="49"/>
    </row>
    <row r="45">
      <c r="C45" s="48"/>
      <c r="G45" s="49"/>
      <c r="H45" s="49"/>
    </row>
    <row r="46">
      <c r="C46" s="48"/>
      <c r="G46" s="49"/>
      <c r="H46" s="49"/>
    </row>
    <row r="47">
      <c r="C47" s="48"/>
      <c r="G47" s="49"/>
      <c r="H47" s="49"/>
    </row>
    <row r="48">
      <c r="C48" s="48"/>
      <c r="G48" s="49"/>
      <c r="H48" s="49"/>
    </row>
    <row r="49">
      <c r="C49" s="48"/>
      <c r="G49" s="49"/>
      <c r="H49" s="49"/>
    </row>
    <row r="50">
      <c r="C50" s="48"/>
      <c r="G50" s="49"/>
      <c r="H50" s="49"/>
    </row>
    <row r="51">
      <c r="C51" s="48"/>
      <c r="G51" s="49"/>
      <c r="H51" s="49"/>
    </row>
    <row r="52">
      <c r="C52" s="48"/>
      <c r="G52" s="49"/>
      <c r="H52" s="49"/>
    </row>
    <row r="53">
      <c r="C53" s="48"/>
      <c r="G53" s="49"/>
      <c r="H53" s="49"/>
    </row>
    <row r="54">
      <c r="C54" s="48"/>
      <c r="G54" s="49"/>
      <c r="H54" s="49"/>
    </row>
    <row r="55">
      <c r="C55" s="48"/>
      <c r="G55" s="49"/>
      <c r="H55" s="49"/>
    </row>
    <row r="56">
      <c r="C56" s="48"/>
      <c r="G56" s="49"/>
      <c r="H56" s="49"/>
    </row>
    <row r="57">
      <c r="C57" s="48"/>
      <c r="G57" s="49"/>
      <c r="H57" s="49"/>
    </row>
    <row r="58">
      <c r="C58" s="48"/>
      <c r="G58" s="49"/>
      <c r="H58" s="49"/>
    </row>
    <row r="59">
      <c r="C59" s="48"/>
      <c r="G59" s="49"/>
      <c r="H59" s="49"/>
    </row>
    <row r="60">
      <c r="C60" s="48"/>
      <c r="G60" s="49"/>
      <c r="H60" s="49"/>
    </row>
    <row r="61">
      <c r="C61" s="48"/>
      <c r="G61" s="49"/>
      <c r="H61" s="49"/>
    </row>
    <row r="62">
      <c r="C62" s="48"/>
      <c r="G62" s="49"/>
      <c r="H62" s="49"/>
    </row>
    <row r="63">
      <c r="C63" s="48"/>
      <c r="G63" s="49"/>
      <c r="H63" s="49"/>
    </row>
    <row r="64">
      <c r="C64" s="48"/>
      <c r="G64" s="49"/>
      <c r="H64" s="49"/>
    </row>
    <row r="65">
      <c r="C65" s="48"/>
      <c r="G65" s="49"/>
      <c r="H65" s="49"/>
    </row>
    <row r="66">
      <c r="C66" s="48"/>
      <c r="G66" s="49"/>
      <c r="H66" s="49"/>
    </row>
    <row r="67">
      <c r="C67" s="48"/>
      <c r="G67" s="49"/>
      <c r="H67" s="49"/>
    </row>
    <row r="68">
      <c r="C68" s="48"/>
      <c r="G68" s="49"/>
      <c r="H68" s="49"/>
    </row>
    <row r="69">
      <c r="C69" s="48"/>
      <c r="G69" s="49"/>
      <c r="H69" s="49"/>
    </row>
    <row r="70">
      <c r="C70" s="48"/>
      <c r="G70" s="49"/>
      <c r="H70" s="49"/>
    </row>
    <row r="71">
      <c r="C71" s="48"/>
      <c r="G71" s="49"/>
      <c r="H71" s="49"/>
    </row>
    <row r="72">
      <c r="C72" s="48"/>
      <c r="G72" s="49"/>
      <c r="H72" s="49"/>
    </row>
    <row r="73">
      <c r="C73" s="48"/>
      <c r="G73" s="49"/>
      <c r="H73" s="49"/>
    </row>
    <row r="74">
      <c r="C74" s="48"/>
      <c r="G74" s="49"/>
      <c r="H74" s="49"/>
    </row>
    <row r="75">
      <c r="C75" s="48"/>
      <c r="G75" s="49"/>
      <c r="H75" s="49"/>
    </row>
    <row r="76">
      <c r="C76" s="48"/>
      <c r="G76" s="49"/>
      <c r="H76" s="49"/>
    </row>
    <row r="77">
      <c r="C77" s="48"/>
      <c r="G77" s="49"/>
      <c r="H77" s="49"/>
    </row>
    <row r="78">
      <c r="C78" s="48"/>
      <c r="G78" s="49"/>
      <c r="H78" s="49"/>
    </row>
    <row r="79">
      <c r="C79" s="48"/>
      <c r="G79" s="49"/>
      <c r="H79" s="49"/>
    </row>
    <row r="80">
      <c r="C80" s="48"/>
      <c r="G80" s="49"/>
      <c r="H80" s="49"/>
    </row>
    <row r="81">
      <c r="C81" s="48"/>
      <c r="G81" s="49"/>
      <c r="H81" s="49"/>
    </row>
    <row r="82">
      <c r="C82" s="48"/>
      <c r="G82" s="49"/>
      <c r="H82" s="49"/>
    </row>
    <row r="83">
      <c r="C83" s="48"/>
      <c r="G83" s="49"/>
      <c r="H83" s="49"/>
    </row>
    <row r="84">
      <c r="C84" s="48"/>
      <c r="G84" s="49"/>
      <c r="H84" s="49"/>
    </row>
    <row r="85">
      <c r="C85" s="48"/>
      <c r="G85" s="49"/>
      <c r="H85" s="49"/>
    </row>
    <row r="86">
      <c r="C86" s="48"/>
      <c r="G86" s="49"/>
      <c r="H86" s="49"/>
    </row>
    <row r="87">
      <c r="C87" s="48"/>
      <c r="G87" s="49"/>
      <c r="H87" s="49"/>
    </row>
    <row r="88">
      <c r="C88" s="48"/>
      <c r="G88" s="49"/>
      <c r="H88" s="49"/>
    </row>
    <row r="89">
      <c r="C89" s="48"/>
      <c r="G89" s="49"/>
      <c r="H89" s="49"/>
    </row>
    <row r="90">
      <c r="C90" s="48"/>
      <c r="G90" s="49"/>
      <c r="H90" s="49"/>
    </row>
    <row r="91">
      <c r="C91" s="48"/>
      <c r="G91" s="49"/>
      <c r="H91" s="49"/>
    </row>
    <row r="92">
      <c r="C92" s="48"/>
      <c r="G92" s="49"/>
      <c r="H92" s="49"/>
    </row>
    <row r="93">
      <c r="C93" s="48"/>
      <c r="G93" s="49"/>
      <c r="H93" s="49"/>
    </row>
    <row r="94">
      <c r="C94" s="48"/>
      <c r="G94" s="49"/>
      <c r="H94" s="49"/>
    </row>
    <row r="95">
      <c r="C95" s="48"/>
      <c r="G95" s="49"/>
      <c r="H95" s="49"/>
    </row>
    <row r="96">
      <c r="C96" s="48"/>
      <c r="G96" s="49"/>
      <c r="H96" s="49"/>
    </row>
    <row r="97">
      <c r="C97" s="48"/>
      <c r="G97" s="49"/>
      <c r="H97" s="49"/>
    </row>
    <row r="98">
      <c r="C98" s="48"/>
      <c r="G98" s="49"/>
      <c r="H98" s="49"/>
    </row>
    <row r="99">
      <c r="C99" s="48"/>
      <c r="G99" s="49"/>
      <c r="H99" s="49"/>
    </row>
    <row r="100">
      <c r="C100" s="48"/>
      <c r="G100" s="49"/>
      <c r="H100" s="49"/>
    </row>
    <row r="101">
      <c r="C101" s="48"/>
      <c r="G101" s="49"/>
      <c r="H101" s="49"/>
    </row>
    <row r="102">
      <c r="C102" s="48"/>
      <c r="G102" s="49"/>
      <c r="H102" s="49"/>
    </row>
    <row r="103">
      <c r="C103" s="48"/>
      <c r="G103" s="49"/>
      <c r="H103" s="49"/>
    </row>
    <row r="104">
      <c r="C104" s="48"/>
      <c r="G104" s="49"/>
      <c r="H104" s="49"/>
    </row>
    <row r="105">
      <c r="C105" s="48"/>
      <c r="G105" s="49"/>
      <c r="H105" s="49"/>
    </row>
    <row r="106">
      <c r="C106" s="48"/>
      <c r="G106" s="49"/>
      <c r="H106" s="49"/>
    </row>
    <row r="107">
      <c r="C107" s="48"/>
      <c r="G107" s="49"/>
      <c r="H107" s="49"/>
    </row>
    <row r="108">
      <c r="C108" s="48"/>
      <c r="G108" s="49"/>
      <c r="H108" s="49"/>
    </row>
    <row r="109">
      <c r="C109" s="48"/>
      <c r="G109" s="49"/>
      <c r="H109" s="49"/>
    </row>
    <row r="110">
      <c r="C110" s="48"/>
      <c r="G110" s="49"/>
      <c r="H110" s="49"/>
    </row>
    <row r="111">
      <c r="C111" s="48"/>
      <c r="G111" s="49"/>
      <c r="H111" s="49"/>
    </row>
    <row r="112">
      <c r="C112" s="48"/>
      <c r="G112" s="49"/>
      <c r="H112" s="49"/>
    </row>
    <row r="113">
      <c r="C113" s="48"/>
      <c r="G113" s="49"/>
      <c r="H113" s="49"/>
    </row>
    <row r="114">
      <c r="C114" s="48"/>
      <c r="G114" s="49"/>
      <c r="H114" s="49"/>
    </row>
    <row r="115">
      <c r="C115" s="48"/>
      <c r="G115" s="49"/>
      <c r="H115" s="49"/>
    </row>
    <row r="116">
      <c r="C116" s="48"/>
      <c r="G116" s="49"/>
      <c r="H116" s="49"/>
    </row>
    <row r="117">
      <c r="C117" s="48"/>
      <c r="G117" s="49"/>
      <c r="H117" s="49"/>
    </row>
    <row r="118">
      <c r="C118" s="48"/>
      <c r="G118" s="49"/>
      <c r="H118" s="49"/>
    </row>
    <row r="119">
      <c r="C119" s="48"/>
      <c r="G119" s="49"/>
      <c r="H119" s="49"/>
    </row>
    <row r="120">
      <c r="C120" s="48"/>
      <c r="G120" s="49"/>
      <c r="H120" s="49"/>
    </row>
    <row r="121">
      <c r="C121" s="48"/>
      <c r="G121" s="49"/>
      <c r="H121" s="49"/>
    </row>
    <row r="122">
      <c r="C122" s="48"/>
      <c r="G122" s="49"/>
      <c r="H122" s="49"/>
    </row>
    <row r="123">
      <c r="C123" s="48"/>
      <c r="G123" s="49"/>
      <c r="H123" s="49"/>
    </row>
    <row r="124">
      <c r="C124" s="48"/>
      <c r="G124" s="49"/>
      <c r="H124" s="49"/>
    </row>
    <row r="125">
      <c r="C125" s="48"/>
      <c r="G125" s="49"/>
      <c r="H125" s="49"/>
    </row>
    <row r="126">
      <c r="C126" s="48"/>
      <c r="G126" s="49"/>
      <c r="H126" s="49"/>
    </row>
    <row r="127">
      <c r="C127" s="48"/>
      <c r="G127" s="49"/>
      <c r="H127" s="49"/>
    </row>
    <row r="128">
      <c r="C128" s="48"/>
      <c r="G128" s="49"/>
      <c r="H128" s="49"/>
    </row>
    <row r="129">
      <c r="C129" s="48"/>
      <c r="G129" s="49"/>
      <c r="H129" s="49"/>
    </row>
    <row r="130">
      <c r="C130" s="48"/>
      <c r="G130" s="49"/>
      <c r="H130" s="49"/>
    </row>
    <row r="131">
      <c r="C131" s="48"/>
      <c r="G131" s="49"/>
      <c r="H131" s="49"/>
    </row>
    <row r="132">
      <c r="C132" s="48"/>
      <c r="G132" s="49"/>
      <c r="H132" s="49"/>
    </row>
    <row r="133">
      <c r="C133" s="48"/>
      <c r="G133" s="49"/>
      <c r="H133" s="49"/>
    </row>
    <row r="134">
      <c r="C134" s="48"/>
      <c r="G134" s="49"/>
      <c r="H134" s="49"/>
    </row>
    <row r="135">
      <c r="C135" s="48"/>
      <c r="G135" s="49"/>
      <c r="H135" s="49"/>
    </row>
    <row r="136">
      <c r="C136" s="48"/>
      <c r="G136" s="49"/>
      <c r="H136" s="49"/>
    </row>
    <row r="137">
      <c r="C137" s="48"/>
      <c r="G137" s="49"/>
      <c r="H137" s="49"/>
    </row>
    <row r="138">
      <c r="C138" s="48"/>
      <c r="G138" s="49"/>
      <c r="H138" s="49"/>
    </row>
    <row r="139">
      <c r="C139" s="48"/>
      <c r="G139" s="49"/>
      <c r="H139" s="49"/>
    </row>
    <row r="140">
      <c r="C140" s="48"/>
      <c r="G140" s="49"/>
      <c r="H140" s="49"/>
    </row>
    <row r="141">
      <c r="C141" s="48"/>
      <c r="G141" s="49"/>
      <c r="H141" s="49"/>
    </row>
    <row r="142">
      <c r="C142" s="48"/>
      <c r="G142" s="49"/>
      <c r="H142" s="49"/>
    </row>
    <row r="143">
      <c r="C143" s="48"/>
      <c r="G143" s="49"/>
      <c r="H143" s="49"/>
    </row>
    <row r="144">
      <c r="C144" s="48"/>
      <c r="G144" s="49"/>
      <c r="H144" s="49"/>
    </row>
    <row r="145">
      <c r="C145" s="48"/>
      <c r="G145" s="49"/>
      <c r="H145" s="49"/>
    </row>
    <row r="146">
      <c r="C146" s="48"/>
      <c r="G146" s="49"/>
      <c r="H146" s="49"/>
    </row>
    <row r="147">
      <c r="C147" s="48"/>
      <c r="G147" s="49"/>
      <c r="H147" s="49"/>
    </row>
    <row r="148">
      <c r="C148" s="48"/>
      <c r="G148" s="49"/>
      <c r="H148" s="49"/>
    </row>
    <row r="149">
      <c r="C149" s="48"/>
      <c r="G149" s="49"/>
      <c r="H149" s="49"/>
    </row>
    <row r="150">
      <c r="C150" s="48"/>
      <c r="G150" s="49"/>
      <c r="H150" s="49"/>
    </row>
    <row r="151">
      <c r="C151" s="48"/>
      <c r="G151" s="49"/>
      <c r="H151" s="49"/>
    </row>
    <row r="152">
      <c r="C152" s="48"/>
      <c r="G152" s="49"/>
      <c r="H152" s="49"/>
    </row>
    <row r="153">
      <c r="C153" s="48"/>
      <c r="G153" s="49"/>
      <c r="H153" s="49"/>
    </row>
    <row r="154">
      <c r="C154" s="48"/>
      <c r="G154" s="49"/>
      <c r="H154" s="49"/>
    </row>
    <row r="155">
      <c r="C155" s="48"/>
      <c r="G155" s="49"/>
      <c r="H155" s="49"/>
    </row>
    <row r="156">
      <c r="C156" s="48"/>
      <c r="G156" s="49"/>
      <c r="H156" s="49"/>
    </row>
    <row r="157">
      <c r="C157" s="48"/>
      <c r="G157" s="49"/>
      <c r="H157" s="49"/>
    </row>
    <row r="158">
      <c r="C158" s="48"/>
      <c r="G158" s="49"/>
      <c r="H158" s="49"/>
    </row>
    <row r="159">
      <c r="C159" s="48"/>
      <c r="G159" s="49"/>
      <c r="H159" s="49"/>
    </row>
    <row r="160">
      <c r="C160" s="48"/>
      <c r="G160" s="49"/>
      <c r="H160" s="49"/>
    </row>
    <row r="161">
      <c r="C161" s="48"/>
      <c r="G161" s="49"/>
      <c r="H161" s="49"/>
    </row>
    <row r="162">
      <c r="C162" s="48"/>
      <c r="G162" s="49"/>
      <c r="H162" s="49"/>
    </row>
    <row r="163">
      <c r="C163" s="48"/>
      <c r="G163" s="49"/>
      <c r="H163" s="49"/>
    </row>
    <row r="164">
      <c r="C164" s="48"/>
      <c r="G164" s="49"/>
      <c r="H164" s="49"/>
    </row>
    <row r="165">
      <c r="C165" s="48"/>
      <c r="G165" s="49"/>
      <c r="H165" s="49"/>
    </row>
    <row r="166">
      <c r="C166" s="48"/>
      <c r="G166" s="49"/>
      <c r="H166" s="49"/>
    </row>
    <row r="167">
      <c r="C167" s="48"/>
      <c r="G167" s="49"/>
      <c r="H167" s="49"/>
    </row>
    <row r="168">
      <c r="C168" s="48"/>
      <c r="G168" s="49"/>
      <c r="H168" s="49"/>
    </row>
    <row r="169">
      <c r="C169" s="48"/>
      <c r="G169" s="49"/>
      <c r="H169" s="49"/>
    </row>
    <row r="170">
      <c r="C170" s="48"/>
      <c r="G170" s="49"/>
      <c r="H170" s="49"/>
    </row>
    <row r="171">
      <c r="C171" s="48"/>
      <c r="G171" s="49"/>
      <c r="H171" s="49"/>
    </row>
    <row r="172">
      <c r="C172" s="48"/>
      <c r="G172" s="49"/>
      <c r="H172" s="49"/>
    </row>
    <row r="173">
      <c r="C173" s="48"/>
      <c r="G173" s="49"/>
      <c r="H173" s="49"/>
    </row>
    <row r="174">
      <c r="C174" s="48"/>
      <c r="G174" s="49"/>
      <c r="H174" s="49"/>
    </row>
    <row r="175">
      <c r="C175" s="48"/>
      <c r="G175" s="49"/>
      <c r="H175" s="49"/>
    </row>
    <row r="176">
      <c r="C176" s="48"/>
      <c r="G176" s="49"/>
      <c r="H176" s="49"/>
    </row>
    <row r="177">
      <c r="C177" s="48"/>
      <c r="G177" s="49"/>
      <c r="H177" s="49"/>
    </row>
    <row r="178">
      <c r="C178" s="48"/>
      <c r="G178" s="49"/>
      <c r="H178" s="49"/>
    </row>
    <row r="179">
      <c r="C179" s="48"/>
      <c r="G179" s="49"/>
      <c r="H179" s="49"/>
    </row>
    <row r="180">
      <c r="C180" s="48"/>
      <c r="G180" s="49"/>
      <c r="H180" s="49"/>
    </row>
    <row r="181">
      <c r="C181" s="48"/>
      <c r="G181" s="49"/>
      <c r="H181" s="49"/>
    </row>
    <row r="182">
      <c r="C182" s="48"/>
      <c r="G182" s="49"/>
      <c r="H182" s="49"/>
    </row>
    <row r="183">
      <c r="C183" s="48"/>
      <c r="G183" s="49"/>
      <c r="H183" s="49"/>
    </row>
    <row r="184">
      <c r="C184" s="48"/>
      <c r="G184" s="49"/>
      <c r="H184" s="49"/>
    </row>
    <row r="185">
      <c r="C185" s="48"/>
      <c r="G185" s="49"/>
      <c r="H185" s="49"/>
    </row>
    <row r="186">
      <c r="C186" s="48"/>
      <c r="G186" s="49"/>
      <c r="H186" s="49"/>
    </row>
    <row r="187">
      <c r="C187" s="48"/>
      <c r="G187" s="49"/>
      <c r="H187" s="49"/>
    </row>
    <row r="188">
      <c r="C188" s="48"/>
      <c r="G188" s="49"/>
      <c r="H188" s="49"/>
    </row>
    <row r="189">
      <c r="C189" s="48"/>
      <c r="G189" s="49"/>
      <c r="H189" s="49"/>
    </row>
    <row r="190">
      <c r="C190" s="48"/>
      <c r="G190" s="49"/>
      <c r="H190" s="49"/>
    </row>
    <row r="191">
      <c r="C191" s="48"/>
      <c r="G191" s="49"/>
      <c r="H191" s="49"/>
    </row>
    <row r="192">
      <c r="C192" s="48"/>
      <c r="G192" s="49"/>
      <c r="H192" s="49"/>
    </row>
    <row r="193">
      <c r="C193" s="48"/>
      <c r="G193" s="49"/>
      <c r="H193" s="49"/>
    </row>
    <row r="194">
      <c r="C194" s="48"/>
      <c r="G194" s="49"/>
      <c r="H194" s="49"/>
    </row>
    <row r="195">
      <c r="C195" s="48"/>
      <c r="G195" s="49"/>
      <c r="H195" s="49"/>
    </row>
    <row r="196">
      <c r="C196" s="48"/>
      <c r="G196" s="49"/>
      <c r="H196" s="49"/>
    </row>
    <row r="197">
      <c r="C197" s="48"/>
      <c r="G197" s="49"/>
      <c r="H197" s="49"/>
    </row>
    <row r="198">
      <c r="C198" s="48"/>
      <c r="G198" s="49"/>
      <c r="H198" s="49"/>
    </row>
    <row r="199">
      <c r="C199" s="48"/>
      <c r="G199" s="49"/>
      <c r="H199" s="49"/>
    </row>
    <row r="200">
      <c r="C200" s="48"/>
      <c r="G200" s="49"/>
      <c r="H200" s="49"/>
    </row>
    <row r="201">
      <c r="C201" s="48"/>
      <c r="G201" s="49"/>
      <c r="H201" s="49"/>
    </row>
    <row r="202">
      <c r="C202" s="48"/>
      <c r="G202" s="49"/>
      <c r="H202" s="49"/>
    </row>
    <row r="203">
      <c r="C203" s="48"/>
      <c r="G203" s="49"/>
      <c r="H203" s="49"/>
    </row>
    <row r="204">
      <c r="C204" s="48"/>
      <c r="G204" s="49"/>
      <c r="H204" s="49"/>
    </row>
    <row r="205">
      <c r="C205" s="48"/>
      <c r="G205" s="49"/>
      <c r="H205" s="49"/>
    </row>
    <row r="206">
      <c r="C206" s="48"/>
      <c r="G206" s="49"/>
      <c r="H206" s="49"/>
    </row>
    <row r="207">
      <c r="C207" s="48"/>
      <c r="G207" s="49"/>
      <c r="H207" s="49"/>
    </row>
    <row r="208">
      <c r="C208" s="48"/>
      <c r="G208" s="49"/>
      <c r="H208" s="49"/>
    </row>
    <row r="209">
      <c r="C209" s="48"/>
      <c r="G209" s="49"/>
      <c r="H209" s="49"/>
    </row>
    <row r="210">
      <c r="C210" s="48"/>
      <c r="G210" s="49"/>
      <c r="H210" s="49"/>
    </row>
    <row r="211">
      <c r="C211" s="48"/>
      <c r="G211" s="49"/>
      <c r="H211" s="49"/>
    </row>
    <row r="212">
      <c r="C212" s="48"/>
      <c r="G212" s="49"/>
      <c r="H212" s="49"/>
    </row>
    <row r="213">
      <c r="C213" s="48"/>
      <c r="G213" s="49"/>
      <c r="H213" s="49"/>
    </row>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sheetData>
  <mergeCells count="1">
    <mergeCell ref="K1:P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0.0"/>
    <col customWidth="1" min="3" max="6" width="12.63"/>
  </cols>
  <sheetData>
    <row r="1">
      <c r="A1" s="51" t="s">
        <v>129</v>
      </c>
      <c r="B1" s="52"/>
      <c r="C1" s="52"/>
      <c r="D1" s="52"/>
      <c r="E1" s="52"/>
      <c r="F1" s="52"/>
      <c r="G1" s="52"/>
      <c r="H1" s="52"/>
      <c r="I1" s="52"/>
      <c r="J1" s="52"/>
      <c r="K1" s="53"/>
    </row>
    <row r="2">
      <c r="A2" s="54" t="s">
        <v>130</v>
      </c>
      <c r="B2" s="55"/>
      <c r="C2" s="56" t="s">
        <v>131</v>
      </c>
      <c r="D2" s="2"/>
      <c r="E2" s="55"/>
      <c r="F2" s="57" t="s">
        <v>132</v>
      </c>
      <c r="G2" s="55"/>
      <c r="H2" s="56" t="s">
        <v>133</v>
      </c>
      <c r="I2" s="2"/>
      <c r="J2" s="2"/>
      <c r="K2" s="55"/>
    </row>
    <row r="3">
      <c r="A3" s="54" t="s">
        <v>134</v>
      </c>
      <c r="B3" s="55"/>
      <c r="C3" s="56" t="s">
        <v>135</v>
      </c>
      <c r="D3" s="2"/>
      <c r="E3" s="55"/>
      <c r="F3" s="57" t="s">
        <v>136</v>
      </c>
      <c r="G3" s="55"/>
      <c r="H3" s="56" t="s">
        <v>137</v>
      </c>
      <c r="I3" s="2"/>
      <c r="J3" s="2"/>
      <c r="K3" s="55"/>
    </row>
    <row r="4">
      <c r="A4" s="58" t="s">
        <v>138</v>
      </c>
      <c r="B4" s="55"/>
      <c r="C4" s="59"/>
      <c r="D4" s="2"/>
      <c r="E4" s="2"/>
      <c r="F4" s="2"/>
      <c r="G4" s="2"/>
      <c r="H4" s="2"/>
      <c r="I4" s="2"/>
      <c r="J4" s="2"/>
      <c r="K4" s="55"/>
    </row>
    <row r="5">
      <c r="A5" s="60"/>
      <c r="B5" s="61" t="s">
        <v>139</v>
      </c>
      <c r="C5" s="62">
        <f>D11/J11</f>
        <v>1</v>
      </c>
      <c r="D5" s="60"/>
      <c r="E5" s="60"/>
      <c r="F5" s="60"/>
      <c r="G5" s="60"/>
      <c r="H5" s="60"/>
      <c r="I5" s="60"/>
      <c r="J5" s="60"/>
      <c r="K5" s="60"/>
    </row>
    <row r="6">
      <c r="A6" s="60"/>
      <c r="B6" s="63" t="s">
        <v>140</v>
      </c>
      <c r="C6" s="62">
        <f>E11/J11</f>
        <v>0.8</v>
      </c>
      <c r="D6" s="60"/>
      <c r="E6" s="60"/>
      <c r="F6" s="60"/>
      <c r="G6" s="60"/>
      <c r="H6" s="60"/>
      <c r="I6" s="60"/>
      <c r="J6" s="64" t="s">
        <v>141</v>
      </c>
      <c r="K6" s="65" t="s">
        <v>142</v>
      </c>
    </row>
    <row r="7">
      <c r="A7" s="60"/>
      <c r="B7" s="66"/>
      <c r="C7" s="60"/>
      <c r="D7" s="60"/>
      <c r="E7" s="60"/>
      <c r="F7" s="60"/>
      <c r="G7" s="60"/>
      <c r="H7" s="60"/>
      <c r="I7" s="60"/>
      <c r="J7" s="60"/>
      <c r="K7" s="60"/>
    </row>
    <row r="8">
      <c r="A8" s="38" t="s">
        <v>1</v>
      </c>
      <c r="B8" s="38" t="s">
        <v>143</v>
      </c>
      <c r="C8" s="38" t="s">
        <v>144</v>
      </c>
      <c r="D8" s="38" t="s">
        <v>145</v>
      </c>
      <c r="E8" s="38" t="s">
        <v>46</v>
      </c>
      <c r="F8" s="38" t="s">
        <v>55</v>
      </c>
      <c r="G8" s="38" t="s">
        <v>146</v>
      </c>
      <c r="H8" s="38" t="s">
        <v>147</v>
      </c>
      <c r="I8" s="38" t="s">
        <v>148</v>
      </c>
      <c r="J8" s="38" t="s">
        <v>8</v>
      </c>
      <c r="K8" s="38" t="s">
        <v>149</v>
      </c>
    </row>
    <row r="9">
      <c r="A9" s="67">
        <v>1.0</v>
      </c>
      <c r="B9" s="67" t="str">
        <f>'Requirement List'!B2</f>
        <v>R001</v>
      </c>
      <c r="C9" s="68" t="str">
        <f>'Requirement List'!C2</f>
        <v>Login</v>
      </c>
      <c r="D9" s="67">
        <f>SUM('Test Summary Report'!$E9:$G9)</f>
        <v>6</v>
      </c>
      <c r="E9" s="67">
        <f>COUNTIFS('Test Cases'!$D:$D,'Test Summary Report'!$C9,'Test Cases'!$L:$L,'Test Summary Report'!E$8)</f>
        <v>3</v>
      </c>
      <c r="F9" s="67">
        <f>COUNTIFS('Test Cases'!$D:$D,'Test Summary Report'!$C9,'Test Cases'!$L:$L,'Test Summary Report'!F$8)</f>
        <v>3</v>
      </c>
      <c r="G9" s="67">
        <f>COUNTIFS('Test Cases'!$D:$D,'Test Summary Report'!$C9,'Test Cases'!$L:$L,'Test Summary Report'!G$8)</f>
        <v>0</v>
      </c>
      <c r="H9" s="67">
        <f>COUNTIFS('Test Cases'!$D:$D,'Test Summary Report'!$C9,'Test Cases'!$L:$L,'Test Summary Report'!H$8)</f>
        <v>0</v>
      </c>
      <c r="I9" s="67">
        <f>COUNTIFS('Test Cases'!$D:$D,'Test Summary Report'!$C9)-sum(D9,H9)</f>
        <v>0</v>
      </c>
      <c r="J9" s="69">
        <f>SUM('Test Summary Report'!$E9:$I9)</f>
        <v>6</v>
      </c>
      <c r="K9" s="70">
        <f>'Test Summary Report'!$D9/'Test Summary Report'!$J9</f>
        <v>1</v>
      </c>
    </row>
    <row r="10">
      <c r="A10" s="71">
        <v>2.0</v>
      </c>
      <c r="B10" s="71" t="str">
        <f>'Requirement List'!B3</f>
        <v>R002</v>
      </c>
      <c r="C10" s="72" t="str">
        <f>'Requirement List'!C3</f>
        <v>Sign up</v>
      </c>
      <c r="D10" s="71">
        <f>SUM('Test Summary Report'!$E10:$G10)</f>
        <v>9</v>
      </c>
      <c r="E10" s="71">
        <f>COUNTIFS('Test Cases'!$D:$D,'Test Summary Report'!$C10,'Test Cases'!$L:$L,'Test Summary Report'!E$8)</f>
        <v>9</v>
      </c>
      <c r="F10" s="71">
        <f>COUNTIFS('Test Cases'!$D:$D,'Test Summary Report'!$C10,'Test Cases'!$L:$L,'Test Summary Report'!F$8)</f>
        <v>0</v>
      </c>
      <c r="G10" s="71">
        <f>COUNTIFS('Test Cases'!$D:$D,'Test Summary Report'!$C10,'Test Cases'!$L:$L,'Test Summary Report'!G$8)</f>
        <v>0</v>
      </c>
      <c r="H10" s="71">
        <f>COUNTIFS('Test Cases'!$D:$D,'Test Summary Report'!$C10,'Test Cases'!$L:$L,'Test Summary Report'!H$8)</f>
        <v>0</v>
      </c>
      <c r="I10" s="71">
        <f>COUNTIFS('Test Cases'!$D:$D,'Test Summary Report'!$C10)-sum(D10,H10)</f>
        <v>0</v>
      </c>
      <c r="J10" s="73">
        <f>SUM('Test Summary Report'!$E10:$I10)</f>
        <v>9</v>
      </c>
      <c r="K10" s="74">
        <f>'Test Summary Report'!$D10/'Test Summary Report'!$J10</f>
        <v>1</v>
      </c>
    </row>
    <row r="11">
      <c r="A11" s="28" t="s">
        <v>20</v>
      </c>
      <c r="B11" s="28"/>
      <c r="C11" s="29" t="s">
        <v>8</v>
      </c>
      <c r="D11" s="75">
        <f t="shared" ref="D11:J11" si="1">SUM(D9:D10)</f>
        <v>15</v>
      </c>
      <c r="E11" s="75">
        <f t="shared" si="1"/>
        <v>12</v>
      </c>
      <c r="F11" s="75">
        <f t="shared" si="1"/>
        <v>3</v>
      </c>
      <c r="G11" s="75">
        <f t="shared" si="1"/>
        <v>0</v>
      </c>
      <c r="H11" s="75">
        <f t="shared" si="1"/>
        <v>0</v>
      </c>
      <c r="I11" s="75">
        <f t="shared" si="1"/>
        <v>0</v>
      </c>
      <c r="J11" s="75">
        <f t="shared" si="1"/>
        <v>15</v>
      </c>
      <c r="K11" s="76">
        <f>C5</f>
        <v>1</v>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mergeCells count="11">
    <mergeCell ref="F3:G3"/>
    <mergeCell ref="H3:K3"/>
    <mergeCell ref="A4:B4"/>
    <mergeCell ref="C4:K4"/>
    <mergeCell ref="A1:K1"/>
    <mergeCell ref="A2:B2"/>
    <mergeCell ref="C2:E2"/>
    <mergeCell ref="F2:G2"/>
    <mergeCell ref="H2:K2"/>
    <mergeCell ref="A3:B3"/>
    <mergeCell ref="C3: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8.63"/>
    <col customWidth="1" min="3" max="6" width="12.63"/>
  </cols>
  <sheetData>
    <row r="1">
      <c r="A1" s="23" t="s">
        <v>150</v>
      </c>
      <c r="B1" s="77"/>
    </row>
    <row r="2">
      <c r="A2" s="78" t="s">
        <v>46</v>
      </c>
      <c r="B2" s="77" t="s">
        <v>151</v>
      </c>
    </row>
    <row r="3">
      <c r="A3" s="78" t="s">
        <v>55</v>
      </c>
      <c r="B3" s="77" t="s">
        <v>152</v>
      </c>
      <c r="C3" s="79" t="s">
        <v>153</v>
      </c>
    </row>
    <row r="4">
      <c r="A4" s="78" t="s">
        <v>146</v>
      </c>
      <c r="B4" s="77" t="s">
        <v>154</v>
      </c>
    </row>
    <row r="5">
      <c r="A5" s="78" t="s">
        <v>147</v>
      </c>
      <c r="B5" s="77" t="s">
        <v>155</v>
      </c>
    </row>
    <row r="6">
      <c r="A6" s="78" t="s">
        <v>148</v>
      </c>
      <c r="B6" s="77"/>
    </row>
    <row r="7">
      <c r="A7" s="77"/>
      <c r="B7" s="77"/>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